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LUCHO\docker\fondo\"/>
    </mc:Choice>
  </mc:AlternateContent>
  <xr:revisionPtr revIDLastSave="0" documentId="13_ncr:1_{FCBB18D1-D12E-415B-957A-DA9EAEC3E166}" xr6:coauthVersionLast="47" xr6:coauthVersionMax="47" xr10:uidLastSave="{00000000-0000-0000-0000-000000000000}"/>
  <bookViews>
    <workbookView xWindow="-120" yWindow="480" windowWidth="20730" windowHeight="10440" tabRatio="1000" activeTab="9" xr2:uid="{6782658B-38AE-4DB2-A6DE-8242ED971185}"/>
  </bookViews>
  <sheets>
    <sheet name="proyecto_servicio" sheetId="1" r:id="rId1"/>
    <sheet name="institución ejecutora" sheetId="12" r:id="rId2"/>
    <sheet name="avance" sheetId="13" r:id="rId3"/>
    <sheet name="etapa" sheetId="2" r:id="rId4"/>
    <sheet name="eje" sheetId="3" r:id="rId5"/>
    <sheet name="linea" sheetId="4" r:id="rId6"/>
    <sheet name="modalidad" sheetId="5" r:id="rId7"/>
    <sheet name="beneficiarios" sheetId="7" r:id="rId8"/>
    <sheet name="modalidad de ejecución" sheetId="9" r:id="rId9"/>
    <sheet name="región" sheetId="10" r:id="rId10"/>
  </sheets>
  <definedNames>
    <definedName name="_xlnm._FilterDatabase" localSheetId="0" hidden="1">proyecto_servicio!$A$1:$N$193</definedName>
    <definedName name="_xlnm.Print_Area" localSheetId="0">proyecto_servicio!$A$1:$N$57</definedName>
    <definedName name="_xlnm.Print_Titles" localSheetId="0">proyecto_servicio!$1:$1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7" i="1" l="1"/>
  <c r="L126" i="1"/>
  <c r="L125" i="1"/>
  <c r="L124" i="1"/>
  <c r="L123" i="1"/>
  <c r="L122" i="1"/>
  <c r="L121" i="1"/>
  <c r="L120" i="1"/>
  <c r="L119" i="1"/>
  <c r="L118" i="1"/>
  <c r="L115" i="1"/>
  <c r="L111" i="1"/>
  <c r="L110" i="1"/>
  <c r="L108" i="1"/>
  <c r="L107" i="1"/>
  <c r="L106" i="1"/>
  <c r="L105" i="1"/>
  <c r="L103" i="1"/>
  <c r="L102" i="1"/>
  <c r="L101" i="1"/>
  <c r="L99" i="1"/>
  <c r="L95" i="1"/>
  <c r="L94" i="1"/>
  <c r="L93" i="1"/>
  <c r="L92" i="1"/>
  <c r="L84" i="1"/>
  <c r="L81" i="1"/>
  <c r="L80" i="1"/>
  <c r="L79" i="1"/>
  <c r="L78" i="1"/>
  <c r="L76" i="1"/>
  <c r="L75" i="1"/>
  <c r="L72" i="1"/>
  <c r="L71" i="1"/>
  <c r="L70" i="1"/>
  <c r="L69" i="1"/>
  <c r="L67" i="1"/>
  <c r="L65" i="1"/>
  <c r="L63" i="1"/>
  <c r="L60" i="1"/>
</calcChain>
</file>

<file path=xl/sharedStrings.xml><?xml version="1.0" encoding="utf-8"?>
<sst xmlns="http://schemas.openxmlformats.org/spreadsheetml/2006/main" count="1232" uniqueCount="516">
  <si>
    <t>Fondo Talento Digital</t>
  </si>
  <si>
    <t xml:space="preserve">Asociación Es Hoy </t>
  </si>
  <si>
    <t>C2403</t>
  </si>
  <si>
    <t>Directa</t>
  </si>
  <si>
    <t>Lima</t>
  </si>
  <si>
    <t>Capacitación para la inserción laboral de baristas certificados (Barista Skill SCA) en cafeterías en el departamento de Lima.</t>
  </si>
  <si>
    <t xml:space="preserve">Central de organizaciones productoras de café y cacao del Perú - CAFÉ PERÚ </t>
  </si>
  <si>
    <t>C2402</t>
  </si>
  <si>
    <t>Fortalecimiento de competencias y habilidades en producción, calidad y ventas al personal de mano de obra no calificada que se insertará laboralmente en las fábricas de cervezas artesanales, en el valle del Mantaro, Región Junín</t>
  </si>
  <si>
    <t xml:space="preserve">Six Sigma Consultores S.R.L. </t>
  </si>
  <si>
    <t>C2401</t>
  </si>
  <si>
    <t>Junín</t>
  </si>
  <si>
    <t>Fortalecimiento y desarrollo de capacidades emprendedoras y de gestión de negocios en Bagua y Utcubamba</t>
  </si>
  <si>
    <t>Agencia Adventista para el Desarrollo y Recursos Asistenciales</t>
  </si>
  <si>
    <t>C2409</t>
  </si>
  <si>
    <t>Amazonas</t>
  </si>
  <si>
    <t>Innovación, Competitividad y Sostenibilidad de Emprendimientos Agropecuarios, Agroindustriales y Gastronómicos del Corredor Saylla (Cusco) - Cusipata (Quispicanchi).</t>
  </si>
  <si>
    <t>Centro de Educación y Comunicación Guaman Poma de Ayala</t>
  </si>
  <si>
    <t>C2413</t>
  </si>
  <si>
    <t>Cusco</t>
  </si>
  <si>
    <t>Promoción y fortalecimiento de capacidades para el emprendimiento con enfoque de innovación y sostenibilidad, en los sectores turismo, eco-negocios, pesca artesanal ancestral y acuicultura, en la provincia de Sechura, región Piura</t>
  </si>
  <si>
    <t>Centro Ecuménico de Promoción y Acción Social Norte – CEDEPAS NORTE</t>
  </si>
  <si>
    <t>C2410</t>
  </si>
  <si>
    <t>Piura</t>
  </si>
  <si>
    <t>INCREMENTO DE INGRESOS FORMALES Y EL AUTOEMPLEO SOSTENIBLE DE EMPRENDEDORES DEDICADOS AL CULTIVO DE PAPAS NATIVAS DE COLORES DE PAZOS, HUANCAVELICA - PERÚ</t>
  </si>
  <si>
    <t xml:space="preserve">Centro de Desarrollo Integral de Comunidades - CEDINCO </t>
  </si>
  <si>
    <t>C2412</t>
  </si>
  <si>
    <t>Huancavelica</t>
  </si>
  <si>
    <t>Mejoramiento de las capacidades de emprendedores-as para el incremento de los ingresos económicos, innovación y gestión de negocios rurales de la microcuenca de Piuray CCorimarca del distrito de Chinchero, Provincia de Urubamba, Departamento del Cusco</t>
  </si>
  <si>
    <t>Centro de Estudios Regionales Andinos Bartolomé de Las Casas</t>
  </si>
  <si>
    <t>C2405</t>
  </si>
  <si>
    <t>PROMOCIÓN Y FORTALECIMIENTO DE NEGOCIOS DEL SECTOR DE GASTRONOMIA VINCULADOS A LA CADENA LOGISTICA DE PESCADOSY MARISCOS DE LOS DISTRITOS DEL EL TAMBO, HUANCAYO Y CHILCA, PROVINCIA DE HUANCAYO, REGION JUNIN</t>
  </si>
  <si>
    <t xml:space="preserve">Instituto de Promoción del Desarrollo Solidario - INPET </t>
  </si>
  <si>
    <t>C2411</t>
  </si>
  <si>
    <t>“FORTALECIMIENTO DE CAPACIDADES Y HABILIDADES EMPRENDEDORAS EN RESIDENTES DE 18 A 44 AÑOS EN EL DISTRITO DE VINCHOS PROVINCIA DE HUAMANGA REGION AYACUCHO”</t>
  </si>
  <si>
    <t xml:space="preserve">Municipalidad Distrital de Vinchos </t>
  </si>
  <si>
    <t>C2404</t>
  </si>
  <si>
    <t>Indirecta</t>
  </si>
  <si>
    <t>Ayacucho</t>
  </si>
  <si>
    <t>Dinamización de emprendimientos rurales en los distritos de Cajamarca, La Encañada, Baños del Inca y Bambamarca en Cajamarca</t>
  </si>
  <si>
    <t>Asociación Los Andes de Cajamarca - ALAC</t>
  </si>
  <si>
    <t>C2408</t>
  </si>
  <si>
    <t>Cajamarca</t>
  </si>
  <si>
    <t>Fortalecimiento de competencias de emprendimiento e innovación de los emprendedores de Cajamarca</t>
  </si>
  <si>
    <t xml:space="preserve">Universidad Nacional de Cajamarca </t>
  </si>
  <si>
    <t>C2407</t>
  </si>
  <si>
    <t>Mejorar las capacidades técnicas para incrementar la producción y productividad de cacao orgánico certificado para mercados europeos en 500 hectáreas, cuatro provincias del departamento de San Martín</t>
  </si>
  <si>
    <t xml:space="preserve">Cooperativa Agraria ACOPAGRO LTDA </t>
  </si>
  <si>
    <t>C2415</t>
  </si>
  <si>
    <t>San Martín</t>
  </si>
  <si>
    <t>Mejoramiento de las capacidades técnicas para incrementar la producción y productividad de café sostenible en 100 ha, distrito de Jepelacio, provincia de Moyobamba, Departamento de San Martín</t>
  </si>
  <si>
    <t>Asociación de Productoras Agropecuarias Alto Rioja - ASPROALTORIOJA</t>
  </si>
  <si>
    <t>C2416</t>
  </si>
  <si>
    <t>“Aguaymanto Orgánico: Innovación Productiva y Acceso Sostenible a Mercados Internacionales”.</t>
  </si>
  <si>
    <t>C2419</t>
  </si>
  <si>
    <t xml:space="preserve"> INCREMENTO DE INGRESOS A PARTIR DEL FORTALECIMIENTO EMPRESARIAL, PRODUCTIVO Y COMERCIAL DE 4 ORGANIZACIONES DE PRODUCTORES DE PALTA ORGÁNICA DEL DISTRITO DE QUICHUAS, HUANCAVELICA, PERÚ</t>
  </si>
  <si>
    <t>Centro de Desarrollo Integral de Comunidades - CEDINCO</t>
  </si>
  <si>
    <t>C2424</t>
  </si>
  <si>
    <t>Incremento de ingresos formales de los asociados de cooperativas agrarias productoras de café de excelencia en el departamento de Junín.</t>
  </si>
  <si>
    <t>Central de Organizaciones Productoras de Café y Cacao del Perú - CAFÉ PERÚ</t>
  </si>
  <si>
    <t>C2436</t>
  </si>
  <si>
    <t>Encadenamiento productivo para la exportación con agricultores de frijol de palo, distritos de Túcume, Pacora y Mórrope, en Lambayeque</t>
  </si>
  <si>
    <t>O.N.G. Centro de Promoción Social &amp; Desarrollo Económico - CEPDE</t>
  </si>
  <si>
    <t>C2438</t>
  </si>
  <si>
    <t>Lambayeque</t>
  </si>
  <si>
    <t>"MEJORAMIENTO DE LA COMPETITIVIDAD DE LA CADENA DE VALOR DE CAFÉ EN EL DISTRITO DE PICHANAQUI, PROVINCIA DE CHANCHAMAYO, REGIÓN JUNÍN"</t>
  </si>
  <si>
    <t>Cooperativa Agraria Del Perú - COOPAPE PERÚ</t>
  </si>
  <si>
    <t>C2425</t>
  </si>
  <si>
    <t>Fortalecimiento de la competitividad organizativa y empresarial de la organización Penachi - Kerguer, Salas/Lambayeque/Lambayeque</t>
  </si>
  <si>
    <t xml:space="preserve">Coordinadora de Organizaciones Campesinas e Instituciones Agrarias del Perú – COORDINADORA RURAL </t>
  </si>
  <si>
    <t>C2427</t>
  </si>
  <si>
    <t>MEJORAMIENTO DE LA COMPETITIVIDAD PRODUCTIVA Y COMERCIAL DE LOS PRODUCTORES DE PALTAS DE LOS DISTRITOS DE LONGOTEA, UCHUMARCA Y UCUNCHA, EN LA PROVINCIA DE BOLÍVAR – LA LIBERTAD</t>
  </si>
  <si>
    <t xml:space="preserve">Consorcio de Organizaciones Privadas de Promoción al Desarrollo de la Micro y Pequeña Empresa - COPEME </t>
  </si>
  <si>
    <t>C2432</t>
  </si>
  <si>
    <t>La libertad</t>
  </si>
  <si>
    <t xml:space="preserve">Incremento de empleo e ingresos de productores de quinua en los distritos de Tambillo y Chiara, provincia de Huamanga – Ayacucho </t>
  </si>
  <si>
    <t xml:space="preserve">DIACONÍA, Asociación Evangélica Luterana de Ayuda para el Desarrollo Comunal </t>
  </si>
  <si>
    <t>C2431</t>
  </si>
  <si>
    <t>Fortalecimiento de las cadenas productivas de Frutales (Palto, Vid) y Cucurbitáceas (Sandía, Zapallo) en la provincia de Mariscal Nieto Moquegua</t>
  </si>
  <si>
    <t>EL TALLER, Asociación de Promoción y Desarrollo</t>
  </si>
  <si>
    <t>C2423</t>
  </si>
  <si>
    <t>Moquegua</t>
  </si>
  <si>
    <t>Incremento de ingresos formales de los asociados de cooperativas agrarias productoras de cacao en grano en el departamento de Huánuco.</t>
  </si>
  <si>
    <t xml:space="preserve">Empresa de Servicios Generales Consultores e Inversiones -ESAING S.A.C.  </t>
  </si>
  <si>
    <t>C2433</t>
  </si>
  <si>
    <t>Huanuco</t>
  </si>
  <si>
    <t>Apicultura ecológica: innovación productiva para el acceso a mercados sostenibles, en el desierto de Sechura, Piura.</t>
  </si>
  <si>
    <t>Fondo Social del Proyecto Integral Bayóvar - FOSPIBAY</t>
  </si>
  <si>
    <t>C2434</t>
  </si>
  <si>
    <t>“Incremento de los Ingresos Netos de productores y productoras de Palta de la Asociación Para el Desarrollo - APD – Zona Norte, distrito de Cochorco, Provincia Sànchez Carrión y Región La libertad”</t>
  </si>
  <si>
    <t xml:space="preserve">Instituto de Investigación y Promoción del Norte – IDIPS DEL NORTE </t>
  </si>
  <si>
    <t>C2430</t>
  </si>
  <si>
    <t xml:space="preserve"> Mejora de la competitividad de la cadena de valor de  los productores de fibra de alpaca y textil de la región Puno</t>
  </si>
  <si>
    <t xml:space="preserve">Instituto Tecnológico de la Producción - ITP </t>
  </si>
  <si>
    <t>C2426</t>
  </si>
  <si>
    <t>Puno</t>
  </si>
  <si>
    <t>INNOVACIÓN TECNOLÓGICA - SISTEMA DE MONITOREO ACUÍCOLA EN POBLACIONES VULNERABLES DEL DEPARTAMENTO DE PUNO CON UTILIZACIÓN DE DRONES ROV  PARA DESARROLLO ACUÍCOLA SOSTENIBLE.</t>
  </si>
  <si>
    <t>C2420</t>
  </si>
  <si>
    <t>“Desarrollo de Capacidades para la Dinamización de los Ingresos y Generación de empleo en los Micro, Pequeños y Medianos Productores Agroindustriales, Artesanales y Gastronómicos del Distrito de San Juan Bautista-Huamanga-Ayacucho”</t>
  </si>
  <si>
    <t xml:space="preserve">Municipalidad Distrital de San Juan Bautista </t>
  </si>
  <si>
    <t>C2421</t>
  </si>
  <si>
    <t>Mejoramiento de la Competitividad Empresarial, Productiva y Comercial de la Cadena Productiva de Lácteos Tuti, Caylloma, Arequipa</t>
  </si>
  <si>
    <t xml:space="preserve">Municipalidad Distrital de Tuti </t>
  </si>
  <si>
    <t>C2437</t>
  </si>
  <si>
    <t>Arequipa</t>
  </si>
  <si>
    <t>Desarrollo competitivo de la producción de berries en Cajamarca</t>
  </si>
  <si>
    <t xml:space="preserve">Asociación los Andes de Cajamarca - ALAC </t>
  </si>
  <si>
    <t>C2417</t>
  </si>
  <si>
    <t>Mejora de ingresos en productores de palta en el distrito de Santa, provincia de Santa, departamento Ancash</t>
  </si>
  <si>
    <t>Organismo para el Desarrollo Integral Sostenible - ODEINS</t>
  </si>
  <si>
    <t>C2428</t>
  </si>
  <si>
    <t>Ancash</t>
  </si>
  <si>
    <t>MEJORA DE LOS INGRESOS DE LOS PRODUCTORES DE CACAO, EN LAS PROVINCIAS DE TAMBOPATA Y TAHUAMANU EN LA REGIÓN MADRE DE DIOS, CON GESTIÓN DIGITAL DE LAS UNIDADES PRODUCTIVAS</t>
  </si>
  <si>
    <t>C2435</t>
  </si>
  <si>
    <t>Madre de Dios</t>
  </si>
  <si>
    <t>Mejoramiento y promoción del destino playas del norte en Piura</t>
  </si>
  <si>
    <t>Asociación Benéfica Prisma</t>
  </si>
  <si>
    <t>C2422</t>
  </si>
  <si>
    <t>Mejoramiento de la productividad y comercialización del mango en la Región Piura</t>
  </si>
  <si>
    <t xml:space="preserve">Asociación Promoción de la Gestión Rural Económica y Social - PROGRESO </t>
  </si>
  <si>
    <t>C2418</t>
  </si>
  <si>
    <t>Mejoramiento de la rentabilidad de la cadena de valor de cacao amigable al medio ambiente y con inclusión de varones y mujeres  en la Región Amazonas</t>
  </si>
  <si>
    <t>Asociación Promoción de la Gestión Rural Económica y Social - PROGRESO</t>
  </si>
  <si>
    <t>C2414</t>
  </si>
  <si>
    <t>CONSERVACIÓN SOSTENIBLE CON JOVENES AWAJUN Y WAMPIS PRODUCTORES DE SHIRINGA EN CONDORCANQUI Y BAGUA, REGIÓN AMAZONAS</t>
  </si>
  <si>
    <t xml:space="preserve">Red de Aliados para las Sociedades Abandonadas - RASA JOVEN </t>
  </si>
  <si>
    <t>C2429</t>
  </si>
  <si>
    <t>Proyecto de desarrollo de competencias técnico-laborales de SINDICATO UNITARIO DE TRABAJADORES MINEROS DE LA CIA MINERA MILPO-UNIDAD CERRO LINDO-SUTUMCL</t>
  </si>
  <si>
    <t>SINDICATO UNITARIO DE TRABAJADORES MINEROS DE LA CIA MINERA MILPO-UNIDAD CERRO LINDO-SUTUMCL</t>
  </si>
  <si>
    <t>AT24-16</t>
  </si>
  <si>
    <t>Ica</t>
  </si>
  <si>
    <t xml:space="preserve">Proyecto de capacitación laboral para trabajadores agremiados y no agremiados del Sindicato Único de Trabajadores de la Minera Boroo Misquichilca S.A. </t>
  </si>
  <si>
    <t xml:space="preserve">Sindicato Único de Trabajadores de la Minera Boroo Misquichilca S.A. </t>
  </si>
  <si>
    <t>AT24-13</t>
  </si>
  <si>
    <t>La Libertad</t>
  </si>
  <si>
    <t>DESARROLLO DE COMPETENCIAS LABORALES</t>
  </si>
  <si>
    <t>SUT ANTAPACCAY –CUSCO</t>
  </si>
  <si>
    <t>AT24-10</t>
  </si>
  <si>
    <t>Desarrollo de Competencias Técnicas</t>
  </si>
  <si>
    <t>Sindicato De Trabajadores De La Cía. Minera Raura S.A</t>
  </si>
  <si>
    <t>AT24-05</t>
  </si>
  <si>
    <t>Desarrollando competencias técnicas del Sindicato para la mejora de su empleabilidad e ingresos económicos</t>
  </si>
  <si>
    <t xml:space="preserve"> Sindicato Único de Trabajadores de la Empresa Concretos Supermix S.A.</t>
  </si>
  <si>
    <t>AT24-09</t>
  </si>
  <si>
    <t xml:space="preserve">Desarrollo de Competencias Laborales para mejorar la empleabilidad </t>
  </si>
  <si>
    <t>SUTRAAQ - Moquegua</t>
  </si>
  <si>
    <t>CAPACITACIÓN TÉCNICA LABORAL</t>
  </si>
  <si>
    <t>STPS -ANCASH</t>
  </si>
  <si>
    <t>AT24-15</t>
  </si>
  <si>
    <t>CAPACITACIÓN LABORAL - CEMENTO</t>
  </si>
  <si>
    <t xml:space="preserve"> SITRUNACEMPE – LIMA</t>
  </si>
  <si>
    <t>lima metropolitana</t>
  </si>
  <si>
    <t>Desarrollo de Competencias Laborales para mejorar la empleabilidad</t>
  </si>
  <si>
    <t>SCV - Arequipa</t>
  </si>
  <si>
    <t>AT24-08</t>
  </si>
  <si>
    <t xml:space="preserve">CAPACITACIÓN LABORAL </t>
  </si>
  <si>
    <t>CATP - PERU - LIMA</t>
  </si>
  <si>
    <t>AT24-18</t>
  </si>
  <si>
    <t xml:space="preserve">DESARROLLO DE COMPETENCIAS LABORALES – MINERÍA </t>
  </si>
  <si>
    <t>– STMCMBUU – LIMA</t>
  </si>
  <si>
    <t>AT24-06</t>
  </si>
  <si>
    <t>FORMACION TECNICO LABORAL DE OPERADORES DE MAQUINARIA Y DE MANTENIMIENTO PRIORIZANDO MUJERES DEL SINDICATO</t>
  </si>
  <si>
    <t xml:space="preserve"> SINDICATO ÚNICO DE TRABAJADORES DE LA COMPAÑÍA MINERA MISKI MAYO”</t>
  </si>
  <si>
    <t>AT24-17</t>
  </si>
  <si>
    <t>Programa de desarrollo de competencias laborales para la mejora de la empleabilidad</t>
  </si>
  <si>
    <t xml:space="preserve"> Sindicato de obreros Mineros de Shougang Hierro Perú y Anexos - Ica</t>
  </si>
  <si>
    <t>AT24-01</t>
  </si>
  <si>
    <t xml:space="preserve"> Desarrollo de competencias laborales</t>
  </si>
  <si>
    <t>Sindicato de Empleados de Shougang Hierro Perú S.A.A. – Marcona - Ica</t>
  </si>
  <si>
    <t>AT24-03</t>
  </si>
  <si>
    <t xml:space="preserve">Desarrollo de Competencias Dirigenciales </t>
  </si>
  <si>
    <t>Sindicato De Trabajadores De La Cía. Minera Raura S.A.</t>
  </si>
  <si>
    <t>AT24-04</t>
  </si>
  <si>
    <t>FORTALECIMIENTO ORGANIZACIONAL</t>
  </si>
  <si>
    <t>AT24-19</t>
  </si>
  <si>
    <t xml:space="preserve">FORTALECIMIENTO ORGANIZACIONAL </t>
  </si>
  <si>
    <t>STMCMBUU – LIMA</t>
  </si>
  <si>
    <t>AT24-07</t>
  </si>
  <si>
    <t>Desarrollo de Competencias Dirigenciales para el fortalecimiento organizacional del SUTRAAQ - Moquegua</t>
  </si>
  <si>
    <t>AT24-12</t>
  </si>
  <si>
    <t xml:space="preserve"> Fortalecimiento Institucional </t>
  </si>
  <si>
    <t>Sindicato de Obreros Mineros de Shougang Hierro Perú  y Anexos – Ica</t>
  </si>
  <si>
    <t>AT24-02</t>
  </si>
  <si>
    <t>FORTALECIENDO CAPACIDADES PARA EL FUTURO - ALFABETIZACIÓN DIGITAL COMUNITARIA, CENTRO POBLADO CATACAOS, PROVINCIA Y REGIÓN PIURA.</t>
  </si>
  <si>
    <t>CAPACITACIÓN PARA LA INSERCIÓN LABORAL DE BARISTAS CERTIFICADOS (BARISTA SKILL SCA) EN CAFETERÍAS  EN EL DEPARTAMENTO DE LIMA.</t>
  </si>
  <si>
    <t>CAPACITACIÓN PARA LA INSERCIÓN LABORAL DE BARISTAS CERTIFICADOS (BARISTA SKILL SCA) EN CAFETERÍAS EN EL DEPARTAMENTO DE LIMA.</t>
  </si>
  <si>
    <t>CRECER JUNTAS”: PROGRAMA DE CAPACITACIÓN Y EMPODERAMIENTO PARA MUJERES EN SITUACIÓN DE VULNERABILIDAD</t>
  </si>
  <si>
    <t>ACCESO AL EMPLEO DECENTE PARA LAS PERSONAS PERUANAS Y VENEZOLANAS EN CONDICIÓN DE VULNERABILIDAD Y EXCLUSIÓN SOCIAL EN LIMA</t>
  </si>
  <si>
    <t>FONDO TALENTO DIGITAL</t>
  </si>
  <si>
    <t>ECOTAPIZ INCLUSIVO</t>
  </si>
  <si>
    <t>FORTALECIMIENTO DE COMPETENCIAS Y HABILIDADES EN PRODUCCIÓN, CALIDAD Y VENTAS AL PERSONAL DE MANO DE OBRA NO CALIFICADA QUE SE INSERTARÁ LABORALMENTE EN LAS FÁBRICAS DE CERVEZAS ARTESANALES, EN EL VALLE DEL MANTARO, REGIÓN JUNÍN</t>
  </si>
  <si>
    <t>FORTALECIMIENTO DE LAS COMPETENCIAS EMPRENDEDORAS Y DE GESTIÓN DE NEGOCIOS DE EMPRENDIMIENTOS DEL SECTOR COMERCIO DE AREQUIPA</t>
  </si>
  <si>
    <t>FORTALECIMIENTO Y DESARROLLO DE CAPACIDADES EMPRENDEDORAS Y DE GESTIÓN DE NEGOCIOS EN BAGUA Y UTCUBAMBA</t>
  </si>
  <si>
    <t>EMPODÉRATE MUJER CHALACA: FORTALECIENDO EL EMPRENDIMIENTO LOCAL DE MUJERES EMPRENDEDORAS EN LA PROVINCIA DEL CALLAO</t>
  </si>
  <si>
    <t>INNOVACIÓN, COMPETITIVIDAD Y SOSTENIBILIDAD DE EMPRENDIMIENTOS AGROPECUARIOS, AGROINDUSTRIALES Y GASTRONÓMICOS DEL CORREDOR SAYLLA (CUSCO) - CUSIPATA (QUISPICANCHI).</t>
  </si>
  <si>
    <t>PROMOCIÓN Y FORTALECIMIENTO DE CAPACIDADES PARA EL EMPRENDIMIENTO CON ENFOQUE DE INNOVACIÓN Y SOSTENIBILIDAD, EN LOS SECTORES TURISMO, ECO-NEGOCIOS, PESCA ARTESANAL ANCESTRAL Y ACUICULTURA, EN LA PROVINCIA DE SECHURA, REGIÓN PIURA</t>
  </si>
  <si>
    <t>MEJORAMIENTO DE LAS CAPACIDADES DE EMPRENDEDORES-AS PARA EL INCREMENTO DE LOS INGRESOS ECONÓMICOS, INNOVACIÓN Y GESTIÓN DE NEGOCIOS RURALES DE LA MICROCUENCA DE PIURAY CCORIMARCA DEL DISTRITO DE CHINCHERO, PROVINCIA DE URUBAMBA, DEPARTAMENTO DEL CUSCO</t>
  </si>
  <si>
    <t>PROMOCIÓN DE CAPACIDADES PARA EL EMPRENDIMIENTO PARA MEJORAR EL EMPLEO DECENTE Y EL INCREMENTO DE LOS INGRESOS FORMALES DE NEGOCIOS VERDES Y DE ECONOMÍA CIRCULAR EN LIMA METROPOLITANA, REGIÓN Y PROVINCIA DE LIMA</t>
  </si>
  <si>
    <t>CONTRIBUCIÓN A LA GENERACIÓN DE EMPRENDIMIENTOS Y AUTOEMPLEO DE JÓVENES EN SITUACIÓN DE VULNERABILIDAD EN EL DISTRITO DE SAN JUAN DE MIRAFLORES</t>
  </si>
  <si>
    <t>PROGRAMA MUJER UNICA: CAPACITACION EN LA ELABORACION DE VELAS AROMATICAS, VELAS ESCULTURA Y PERFUMERIA, PARA LA PROMOCION Y EL FORTALECIMIENTO DEL EMPRENDIMIENTO EN MUJERES DE UNA POBLACION VULNERABLE DE LA CIUDAD DE LIMA</t>
  </si>
  <si>
    <t>ESTRATEGIAS DE DESARROLLO SOSTENIBLE PARA INCREMENTAR LOS INGRESOS DE LOS ARTESANOS NATIVOS DEL DISTRITO DE UNIÓN ASHANINKA, LA CONVENCIÓN - CUSCO, A TRAVÉS DE LA VALORIZACIÓN DE SU IDENTIDAD CULTURAL Y EL COMERCIO JUSTO.</t>
  </si>
  <si>
    <t>FORTALECIMIENTO DE CAPACIDADES Y HABILIDADES EMPRENDEDORAS EN RESIDENTES DE 18 A 44 AÑOS EN EL DISTRITO DE VINCHOS PROVINCIA DE HUAMANGA REGION AYACUCHO”</t>
  </si>
  <si>
    <t>DINAMIZACIÓN DE EMPRENDIMIENTOS RURALES EN LOS DISTRITOS DE CAJAMARCA, LA ENCAÑADA, BAÑOS DEL INCA Y BAMBAMARCA EN CAJAMARCA</t>
  </si>
  <si>
    <t>FORTALECIMIENTO DE COMPETENCIAS DE EMPRENDIMIENTO E INNOVACIÓN DE LOS EMPRENDEDORES DE CAJAMARCA</t>
  </si>
  <si>
    <t>MEJORAR LAS CAPACIDADES TÉCNICAS PARA INCREMENTAR LA PRODUCCIÓN Y PRODUCTIVIDAD DE CACAO ORGÁNICO CERTIFICADO PARA MERCADOS EUROPEOS EN 500 HECTÁREAS, CUATRO PROVINCIAS DEL DEPARTAMENTO DE SAN MARTÍN</t>
  </si>
  <si>
    <t>INCREMENTO DEL NIVEL DE COMPETITIVIDAD DE PRODUCTORES CAFETALEROS DE LAS PROVINCIAS DE LAMAS Y MOYOBAMBA, REGIÓN SAN MARTÍN</t>
  </si>
  <si>
    <t>INCREMENTO DE LOS INGRESOS FAMILIARES POR MEJORA DE LA PRODUCCIÓN DE PLÁTANO, EN CINCO COMUNIDADES NATIVAS DE LA ETNIA SHIPIBO CONIBO EN UCAYALI, PERÚ</t>
  </si>
  <si>
    <t>MEJORAMIENTO DE LAS CAPACIDADES TÉCNICAS PARA INCREMENTAR LA PRODUCCIÓN Y PRODUCTIVIDAD DE CAFÉ SOSTENIBLE EN 100 HA, DISTRITO DE JEPELACIO, PROVINCIA DE MOYOBAMBA, DEPARTAMENTO DE SAN MARTÍN</t>
  </si>
  <si>
    <t>MEJORAMIENTO DE LAS CAPACIDADES TÉCNICAS PARA INCREMENTAR LA PRODUCCIÓN Y PRODUCTIVIDAD DE CAFÉ SOSTENIBLE EN 100 HA, DISTRITO DE MOYOBAMBA, PROVINCIA DE MOYOBAMBA, DEPARTAMENTO DE SAN MARTÍN</t>
  </si>
  <si>
    <t>MEJORAMIENTO DE LA CALIDAD DE GRANO DE CAFÉ Y ACCESO AL MERCADO EN EL DISTRITO DE PERNÉ Y PICHANAQUI, PROVINCIA DE CHANCHAMAYO, REGIÓN JUNIN</t>
  </si>
  <si>
    <t>FORTALECIMIENTO PRODUCTIVO DE LAS FAMILIAS DEDICADAS A LA ACTIVIDAD GANADERA DE LOS DISTRITOS DE AYAVI Y TAMBO DE LA PROVINCIA DE HUAYTARÁ – HUANCAVELICA</t>
  </si>
  <si>
    <t>MEJORA DE LA COMPETITIVIDAD DE LA CADENA PRODUCTIVA DE PALTA FUERTE Y HASS EN EL CORREDOR ECONÓMICO YANAMAYO - HUARAZ – LIMA</t>
  </si>
  <si>
    <t>MEJORA DE LA COMPETITIVIDAD DE LA CADENA PRODUCTIVA DE PALTA FUERTE Y HASS EN EL CORREDOR ECONÓMICO YANAMAYO- HUARAZ- LIMA</t>
  </si>
  <si>
    <t>DIVERSIFICACIÓN DE INGRESOS EN LAS MUJERES RURALES ORGANIZADAS CON UN CENTRO DE PRODUCCIÓN EN ARTESANÍA TIPO TEXTIL Y DERIVADOS DE CACAO EN LA, PROVINCIA DE MARISCAL CÁCERES, DEPARTAMENTO DE SAN MARTÍN”</t>
  </si>
  <si>
    <t>INGRESOS PALTA</t>
  </si>
  <si>
    <t>AGUAYMANTO ORGÁNICO: INNOVACIÓN PRODUCTIVA Y ACCESO SOSTENIBLE A MERCADOS INTERNACIONALES”.</t>
  </si>
  <si>
    <t>INCREMENTO DE INGRESOS FORMALES DE LOS ASOCIADOS DE COOPERATIVAS AGRARIAS PRODUCTORAS DE CAFÉ DE EXCELENCIA EN EL DEPARTAMENTO DE JUNÍN.</t>
  </si>
  <si>
    <t>ENCADENAMIENTO PRODUCTIVO PARA LA EXPORTACIÓN CON AGRICULTORES DE FRIJOL DE PALO, DISTRITOS DE TÚCUME, PACORA Y MÓRROPE, EN LAMBAYEQUE</t>
  </si>
  <si>
    <t>MEJORA DE INGRESOS DE PRODUCTORES/AS ASOCIADOS A COOPERATIVAS AGRARIAS DE QUINUA ORGÁNICA Y ACCESO A MERCADOS FORMALES EN LA PROVINCIA DE ANDAHUAYLAS, REGIÓN APURÍMAC.</t>
  </si>
  <si>
    <t>FORTALECIMIENTO DE LAS CAPACIDADES ORGANIZACIONALES Y DE LIDERAZGO PARA EL ACCESO A MECANISMOS ADECUADOS DE FINANCIAMIENTO Y MERCADOS, DE LOS PRODUCTORES DE MAÍZ BLANCO DE LOS DISTRITOS DE ANDAHUAYLILLAS, HUARO Y LUCRE DE LA PROVINCIA DE QUISPICANCHI, REGIÓN CUSCO</t>
  </si>
  <si>
    <t>ESTABILIDAD EN LA COMPETITIVIDAD PRODUCTIVA – COMERCIAL DE FAMILIAS CAFETALERAS DE LA COOPERATIVA SOL&amp;CAFÉ EN JAEN-PERU</t>
  </si>
  <si>
    <t>MEJORAMIENTO DE LA COMPETITIVIDAD DE LA CADENA DE VALOR DE CAFÉ EN EL DISTRITO DE PICHANAQUI, PROVINCIA DE CHANCHAMAYO, REGIÓN JUNÍN</t>
  </si>
  <si>
    <t>INCREMENTO DE LOS INGRESOS NETOS DE LAS FAMILIAS PRODUCTORAS DE BANANO ORGÁNICO EN LA COOPERATIVA AGRARIA APBOSMAM DEL DISTRITO MARCAVELICA, PROVINCIA SULLANA Y REGIÓN PIURA</t>
  </si>
  <si>
    <t>FORTALECIMIENTO DE LA COMPETITIVIDAD ORGANIZATIVA Y EMPRESARIAL DE LA ORGANIZACIÓN PENACHI - KERGUER, SALAS/LAMBAYEQUE/LAMBAYEQUE</t>
  </si>
  <si>
    <t xml:space="preserve">INCREMENTO DE EMPLEO E INGRESOS DE PRODUCTORES DE QUINUA EN LOS DISTRITOS DE TAMBILLO Y CHIARA, PROVINCIA DE HUAMANGA – AYACUCHO </t>
  </si>
  <si>
    <t>INCREMENTO DEL NIVEL DE COMPTETITIVIADAD DE LOS PRODUCTORES DE PITAHAYA EN LAS PROVINCIAS DE RIOJA Y MOYOBAMABA, REGIÓN SAN MARTIN</t>
  </si>
  <si>
    <t>FORTALECIMIENTO DE LAS CADENAS PRODUCTIVAS DE FRUTALES (PALTO, VID) Y CUCURBITÁCEAS (SANDÍA, ZAPALLO) EN LA PROVINCIA DE MARISCAL NIETO MOQUEGUA</t>
  </si>
  <si>
    <t>INCREMENTO DE INGRESOS FORMALES DE LOS ASOCIADOS DE COOPERATIVAS AGRARIAS PRODUCTORAS DE CACAO EN GRANO EN EL DEPARTAMENTO DE HUÁNUCO.</t>
  </si>
  <si>
    <t>APICULTURA ECOLÓGICA: INNOVACIÓN PRODUCTIVA PARA EL ACCESO A MERCADOS SOSTENIBLES, EN EL DESIERTO DE SECHURA, PIURA.</t>
  </si>
  <si>
    <t>INCREMENTO DE LOS INGRESOS NETOS DE PRODUCTORES Y PRODUCTORAS DE PALTA DE LA ASOCIACIÓN PARA EL DESARROLLO - APD – ZONA NORTE, DISTRITO DE COCHORCO, PROVINCIA SÀNCHEZ CARRIÓN Y REGIÓN LA LIBERTAD”</t>
  </si>
  <si>
    <t>INCREMENTO DEL NIVEL DE INGRESOS ECONÓMICOS EN FAMILIAS PRODUCTORAS DE ACHIOTE DEL NEGUACHE, DISTRITO DE PUERTO BERMÚDEZ, PROVINCIA DE OXAPAMPA - PASCO</t>
  </si>
  <si>
    <t xml:space="preserve"> MEJORA DE LA COMPETITIVIDAD DE LA CADENA DE VALOR DE  LOS PRODUCTORES DE FIBRA DE ALPACA Y TEXTIL DE LA REGIÓN PUNO</t>
  </si>
  <si>
    <t>MEJORAMIENTO DE LAS CAPACIDADES TÉCNICAS PARA INCREMENTAR PRODUCCIÓN Y PRODUCTIVIDAD DE CAFÉ, CACAO Y PIÑA EN 200 HECTÁREAS, DISTRITO DE CALZADA, PROVINCIA DE MOYOBAMBA, DEPARTAMENTO DE SAN MARTÍN</t>
  </si>
  <si>
    <t>MEJORAMIENTO DE LAS CAPACIDADES TÉCNICAS PARA INCREMENTAR LA PRODUCCIÓN Y PRODUCTIVIDAD DE CAFÉ SOSTENIBLE EN 100 HA, DISTRITO DE HABANA, PROVINCIA DE MOYOBAMBA, DEPARTAMENTO DE SAN MARTÍN</t>
  </si>
  <si>
    <t>MEJORAMIENTO DE LOS INGRESOS ECONÓMICOS DE LOS PRODUCTORES INVOLUCRADOS EN LA CADENA PRODUCTIVA DE LA PALTA EN EL DISTRITO DE MAGDALENA - CAJAMARCA</t>
  </si>
  <si>
    <t>DESARROLLO DE CAPACIDADES PARA LA DINAMIZACIÓN DE LOS INGRESOS Y GENERACIÓN DE EMPLEO EN LOS MICRO, PEQUEÑOS Y MEDIANOS PRODUCTORES AGROINDUSTRIALES, ARTESANALES Y GASTRONÓMICOS DEL DISTRITO DE SAN JUAN BAUTISTA-HUAMANGA-AYACUCHO”</t>
  </si>
  <si>
    <t>FORTALECIMIENTO DE LAS COMPETENCIAS PRODUCTIVAS Y COMERCIALES DE LOS EMPRENDIMIENTOS DEL DISTRITO DE VILLA KINTIARINA- LA CONVENCIÓN-CUSCO”</t>
  </si>
  <si>
    <t>FOMENTO Y DESARROLLO DE COMPETENCIAS EMPRESARIALES DE LAS ORGANIZACIONES PRODUCTIVAS DEL DISTRITO DE VILLA VIRGEN- LA CONVENCIÓN-CUSCO”</t>
  </si>
  <si>
    <t>MEJORAMIENTO DE LA COMPETITIVIDAD EMPRESARIAL, PRODUCTIVA Y COMERCIAL DE LA CADENA PRODUCTIVA DE LÁCTEOS TUTI, CAYLLOMA, AREQUIPA</t>
  </si>
  <si>
    <t>DESARROLLO COMPETITIVO DE LA PRODUCCIÓN DE BERRIES EN CAJAMARCA</t>
  </si>
  <si>
    <t>FORTALECIMIENTO SOSTENIBLE DEL CULTIVO DE MAÍZ MORADO INIA 601: IMPULSO ECONÓMICO PARA PEQUEÑOS PRODUCTORES DE CAJAMARCA Y HUALGAYOC</t>
  </si>
  <si>
    <t>MEJORA DE LOS INGRESOS EN PRODUCTORES DE PALTA EN EL DISTRITO DE CHAO, PROVINCIA DE VIRÚ, DEPARTAMENTO LA LIBERTAD”</t>
  </si>
  <si>
    <t>MEJORA DE INGRESOS EN PRODUCTORES DE PALTA EN EL DISTRITO DE SANTA, PROVINCIA DE SANTA, DEPARTAMENTO ANCASH</t>
  </si>
  <si>
    <t>MEJORAMIENTO Y PROMOCIÓN DEL DESTINO PLAYAS DEL NORTE EN PIURA</t>
  </si>
  <si>
    <t>MEJORAMIENTO DE LA PRODUCTIVIDAD Y COMERCIALIZACIÓN DEL MANGO EN LA REGIÓN PIURA</t>
  </si>
  <si>
    <t>MEJORAMIENTO DE LA RENTABILIDAD DE LA CADENA DE VALOR DE CACAO AMIGABLE AL MEDIO AMBIENTE Y CON INCLUSIÓN DE VARONES Y MUJERES  EN LA REGIÓN AMAZONAS</t>
  </si>
  <si>
    <t>MEJORAMIENTO DE LAS CAPACIDADES TÉCNICAS PARA INCREMENTAR LA PRODUCCIÓN Y PRODUCTIVIDAD DE CAFÉ SOSTENIBLE EN 100 HA, DISTRITO DE SORITOR, PROVINCIA DE MOYOBAMBA, DEPARTAMENTO DE SAN MARTÍN</t>
  </si>
  <si>
    <t>DESARROLLO DE CAPACIDADES INNOVADORAS Y COMPETITIVAS EN UNIDADES PRODUCTIVAS QUE INTEGRAN LA CADENA TEXTIL DE FIBRA DE ALPACA DEL DISTRITO DE SIBAYO – CAYLLOMA – AREQUIPA - PERU</t>
  </si>
  <si>
    <t>PAQU UYWAQKUNAPAQ - DESARROLLO DE LOS SISTEMAS DE CRIANZA Y AGROINDUSTRIA ALPAQUERA BASADOS EN LA ECONOMÍA CIRCULAR, QUE IMPULSAN EL EMPLEO DE CALIDAD, CON EQUIDAD DE GÉNERO Y AMBIENTAL EN COMUNIDADES ALTOANDINAS DE HUANCAVELICA.</t>
  </si>
  <si>
    <t>INNOVACIÓN DE 304 EMPRENDIMIENTOS PRODUCTIVOS DE CAFÉ EN TRES PROVINCIAS, ANTE EL CAMBIO CLIMÁTICO  PARA MEJORAR SU COMPETITIVIDAD Y PRODUCTIVIDAD CON EMPLEO RURAL DIGNO EN LOS PRODUCTORES ORGANIZADOS EN LA COOPERATIVA AGRARIA COOPBAM-SAN MARTIN</t>
  </si>
  <si>
    <t>INNOVACIÓN Y ESTANDARIZACIÓN DE 200 EMPRENDIMIENTOS DE CAFÉ RESILIENTES AL CAMBIO CLIMÁTICO EN LA ASOCIACIÓN DE PRODUCTORES CERRO BLANCO, JEPELACIO - SAN MARTÍN</t>
  </si>
  <si>
    <t>INNOVACIÓN Y ESTANDARIZACIÓN DE 100 EMPRENDIMIENTOS DE CAFÉ ORGÁNICO RESILIENTES AL CAMBIO CLIMÁTICO EN LA ASOCIACIÓN DE PRODUCTORES CERRO BLANCO, DIST. MOYOBAMBA - SAN MARTÍN</t>
  </si>
  <si>
    <t>FORTALECIMIENTO DE LAS COMPETENCIAS DE LOS EMPRENDIMIENTOS DE LAS CADENAS DE PAPA NATIVA Y PALTO EN LOS 4 DISTRITOS DE LA PROVINCIA DE LA MAR, REGIÓN AYACUCHO</t>
  </si>
  <si>
    <t>PROMOCIÓN Y FORTALECIMIENTO DE LAS CAPACIDADES PARA EL EMPRENDIMIENTO DE LA PROVINCIA DE CHOTA</t>
  </si>
  <si>
    <t>TEJIENDO FUTURO: TRANSFORMANDO TALENTO ARTESANAL EN OPORTUNIDADES DE EMPRENDIMIENTO Y COMERCIALIZACIÓN EN LOS DISTRITOS DE YAULI Y PAUCARA, REGIÓN HUANCAVELICA</t>
  </si>
  <si>
    <t>REACTIVANDO SABERES Y SABORES: DESARROLLO EMPRESARIAL EN ARTESANÍA Y GASTRONOMÍA PARA EL DESPEGUE ECONÓMICO EN LOS DISTRITOS DE AYACUCHO Y QUINUA DE LA PROVINCIA DE HUAMANGA – REGIÓN AYACUCHO</t>
  </si>
  <si>
    <t>PROMOVIENDO EL EMPLEO DECENTE PARA MUJERES, AFRODESCENDIENTES Y OTRAS POBLACIONES JÓVENES VULNERABLES EN CHINCHA (ICA)</t>
  </si>
  <si>
    <t xml:space="preserve">PROMOVIENDO LA SOSTENIBILIDAD DE EMPRENDIMIENTOS DE SUBSISTENCIA DE MUJERES Y JÓVENES EN LIMA METROPOLITANA (LIMA NORTE)	</t>
  </si>
  <si>
    <t xml:space="preserve">PROMOCIÓN DE EMPRENDIMIENTOS INNOVADORES, SOSTENIBLES Y FORMALES EN LOS SECTORES DE TURISMO Y PEQUEÑA INDUSTRIA EN LA PROVINCIA DE PAITA	</t>
  </si>
  <si>
    <t xml:space="preserve">CONTRIBUCIÓN A LA GENERACIÓN DE EMPRENDIMIENTOS Y AUTOEMPLEO DE JÓVENES EN SITUACIÓN DE VULNERABILIDAD EN EL DISTRITO DE SAN JUAN DE MIRAFLORES	</t>
  </si>
  <si>
    <t xml:space="preserve">CAPACITACIÓN E INSERCIÓN LABORAL EN ARTESANOS Y POBLACIÓN VULNERABLE – LOCALIDAD DE SAN ISIDRO – DISTRITO DE CORRALES – PROVINCIA TUMBES – REGIÓN TUMBES	</t>
  </si>
  <si>
    <t>PROMOCIÓN Y FORTALECIMIENTO DE CAPACIDADES DE LAS UNIDADES PRODUCTIVAS DEL VALLE ESMERALDA LOS ANDES HUANTA, REGIÓN AYACUCH</t>
  </si>
  <si>
    <t>FORTALECIMIENTO DE LAS COMPETENCIAS PRODUCTIVAS DE LOS EMPRENDIMIENTOS DE CADENA DE PALTO EN LA PROVINCIA DE HUANTA, REGIÓN AYACUCHO</t>
  </si>
  <si>
    <t>PROYECTO PRODUCTIVO SOSTENIBLE DE CACAO CON GRUPOS CHOBA CHOBA EN LA REGIÓN SAN MARTIN</t>
  </si>
  <si>
    <t>MEJORAMIENTO Y PROMOCIÓN TURÍSTICA DE LAS PROVINCIAS DE CHACHAPOYAS Y LUYA EN EL DESTINO MUNDO CHACHAPOYAS</t>
  </si>
  <si>
    <t xml:space="preserve">MEJORA DE LAS COMPETENCIAS, HABILIDADES Y DESTREZAS DE LOS PESCADOR ARTESANAL Y AGRICULTOR DE LAS PROVINCIAS DE SECHURA Y PIURA	</t>
  </si>
  <si>
    <t>PROMOCIÓN Y FORTALECIMIENTO DE CAPACIDADES PARA DINAMIZACIÓN DE LOS EMPRENDIMIENTOS DE ARTESANÍA, GASTRONOMÍA, HOTELERÍA Y TRANSPORTE VINCULADOS A LOS SERVICIOS DEL CIRCUITO TURÍSTICO VALLE CARACHA DE LA PROVINCIA DE HUANCA SANCOS, DEPARTAMENTO DE AYACUCHO</t>
  </si>
  <si>
    <t>DESARROLLO Y FORTALECIMIENTO DE UNIDADES ECONÓMICAS VINCULADAS A LA CADENA PRODUCTIVA DE LA ACUICULTURA EN MADRE DE DIOS</t>
  </si>
  <si>
    <t>PROMOCIÓN Y FORTALECIMIENTO DE CAPACIDADES PARA LA PRODUCCIÓN AVÍCOLA EN EL DISTRITO DE MANITEA, PROVINCIA DE LA CONVENCIÓN, DEPARTAMENTO DE CUSCO (VRAEM)</t>
  </si>
  <si>
    <t>RED JOVEN PESQUERA: EMPLEO Y EQUIDAD EN LAS CADENAS LOGÍSTICAS DEL SECTOR PESQUERO</t>
  </si>
  <si>
    <t>DESARROLLO DE CAPACIDADES TÉCNICAS ESPECIALIZADAS Y EMPLEABILIDAD FORMAL DE JÓVENES EN PROCESOS DE TEJEDURÍA INDUSTRIAL</t>
  </si>
  <si>
    <t xml:space="preserve">THE MASTER YACHACHIQ </t>
  </si>
  <si>
    <t>SABORES QUE CUIDAN: INNOVACIÓN SALUDABLE EN PANES Y GALLETAS</t>
  </si>
  <si>
    <t xml:space="preserve">IMPULSO AL EMPRENDIMIENTO LOCAL PARA LA DINAMIZACIÓN ECONÓMICA EN EL DISTRITO DE SANTA, PROVINCIA DE SANTA, DEPARTAMENTO DE ÁNCASH	</t>
  </si>
  <si>
    <t>IMPULSO AL EMPRENDIMIENTO LOCAL PARA LA DINAMIZACIÓN ECONÓMICA EN EL VALLE DEL MANTARO, DEPARTAMENTO DE JUNÍN</t>
  </si>
  <si>
    <t xml:space="preserve">FORTALECIMIENTO DE CAPACIDADES Y COMPETITIVIDAD PARA LA EXPORTACIÓN SOSTENIBLE DE PRODUCTOS HIDROBIOLÓGICOS EN LOS DISTRITOS DE SECHURA, PIURA	</t>
  </si>
  <si>
    <t>DESARROLLO DE LAS COMPETENCIAS EMPRENDEDORAS DEL DISTRITO DE CHIARA, PROVINCIA DE HUAMANGA, REGIÓN AYACUCHO</t>
  </si>
  <si>
    <t>MEJORAMIENTO E IMPLEMENTACIÓN CON CAPACIDADES TECNOLÓGICAS PARA LA PRODUCCIÓN Y COMERCIALIZACIÓN EN INTERNET DEL CAFÉ TOSTADO PRODUCIDO POR JÓVENES DE 18 A 30 AÑOS ORGANIZADOS EN LA ASOCIACIÓN DE PRODUCTORES AGRARIOS CORDILLERA ANDINA</t>
  </si>
  <si>
    <t>PROMOCIÓN Y FORTALECIMIENTO DE EMPRENDIMIENTOS EN LA POBLACIÓN DE 18 A 44 AÑOS EN EL DISTRITO DE ANDRES AVELINO CACERES DORREGARAY – HUAMANGA – AYACUCHO.</t>
  </si>
  <si>
    <t>FORTALECIMIENTO DE COMPETENCIAS LABORALES PARA ACCESO AL EMPLEO FORMAL EN EL SECTOR TEXTIL CONFECCIONES DE LIMA METROPOLITANA E IMPULSO DE LA INDUSTRIA MANUFACTURERA PARA CREAR PUENTES PARA LA EXPORTACIÓN</t>
  </si>
  <si>
    <t>PROMOCIÓN Y FORTALECIMIENTO DE CAPACIDADES DE LOS EMPRENDIMIENTOS DE LOS DISTRITOS METROPOLITANOS DE AYACUCHO Y CARMEN ALTO DE LA PROVINCIA DE HUAMANGA, REGIÓN AYACUCHO</t>
  </si>
  <si>
    <t xml:space="preserve">DESARROLLO DE COMPETENCIAS PARA LA GESTIÓN DE EMPRENDIMIENTOS EN EL DISTRITO DE MATAPALO, PROVINCIA DE ZARUMILLA – TUMBES	</t>
  </si>
  <si>
    <t xml:space="preserve">IMPARTIENDO CONOCIMIENTOS HOY, PARA UN FUTURO SOSTENIBLE DEL TALENTO HUMANO PAG	</t>
  </si>
  <si>
    <t>PROMOVIENDO EMPRENDIMIENTOS DE AUTOEMPLEO COMPETITIVO Y SOSTENIBLE EN CADENAS PRODUCTIVAS DE SECTORES: TEXTIL, CONFECCIONES Y CALZADO - PROVINCIA DE AREQUIPA</t>
  </si>
  <si>
    <t>TEJIENDO OPORTUNIDADES: DESARROLLO DE COMPETENCIAS TÉCNICAS EN TEJIDO RECTILÍNEO PARA LA INSERCIÓN LABORAL DE JÓVENES EN LIMA METROPOLITANA.</t>
  </si>
  <si>
    <t>FONDO TALENTO DIGITAL - TERCERA EDICIÓN</t>
  </si>
  <si>
    <t>JUVENTUD CAFETALERA: CAPACITACIÓN PARA LA INSERCIÓN LABORAL EN LA CADENA DE VALOR DEL 
CAFÉ EN SAN MARTÍN</t>
  </si>
  <si>
    <t>INNOVACIÓN Y ESTANDARIZACIÓN DE 100 EMPRENDIMIENTOS DE CAFÉ SOSTENIBLE  PARA REDUCIR LA HUELLA DE CARBONO EN LA ASOCIACIÓN DE MUJERES AGRARIAS SIN  FRONTERAS, DISTRITO DE MOYOBAMBA Y SORITOR, PROVINCIA DE MOYOBAMBA- SAN  MARTÍN</t>
  </si>
  <si>
    <t>DESARROLLO DE COMPETENCIAS EMPRESARIALES PARA LA GESTIÓN DE NEGOCIOS EN LOS DISTRITOS DE PARURO Y YAURISQUE, PROVINCIA DE PARURO – REGIÓN CUSCO</t>
  </si>
  <si>
    <t>EMPODERAMIENTO FEMENINO A TRAVÉS DE UN EMPRENDIMIENTO MÓVIL SOSTENIBLE 
IMPULSADO POR ENERGÍA SOLAR PARA EL APROVECHAMIENTO DE RECURSOS 
HIDROBIOLÓGICOS EN LA COMUNIDAD DE SAN PEDRO-PARIÑAS, TALARA-PIURA</t>
  </si>
  <si>
    <t>DESARROLLO DE CAPACIDADES OPERATIVAS Y TRANSICIÓN AL EMPLEO FORMAL DE JÓVENES EN MANUFACTURA PLÁSTICA MEDIANTE ARTICULACIÓN TÉCNICO-PRODUCTIVA CON CONCYSSA</t>
  </si>
  <si>
    <t>FORTALECIMIENTO DE LAS COMPETENCIAS EMPRENDEDORAS Y DE GESTIÓN DE 
NEGOCIOS DE EMPRENDIMIENTOS DEL SECTOR COMERCIO DE AREQUIPA</t>
  </si>
  <si>
    <t xml:space="preserve">CAPACITACIÓN A JÓVENES PARA SU INSERCIÓN LABORAL EN EL DEPARTAMENTO DE LAMBAYEQUE </t>
  </si>
  <si>
    <t xml:space="preserve">DE LA BODEGA TRADICIONAL AL RETAIL DIGITAL: CAPACITACIÓN Y TRANSFORMACIÓN 
TECNOLÓGICA PARA MODERNIZAR 300 BODEGAS DE PIURA </t>
  </si>
  <si>
    <t>CAPACITACION EN JABONERIA Y COSMETICA, PARA EL DESARROLLO Y EL FORTALECIMIENTO DEL EMPRENDIMIENTO EN MUJERES DE UNA POBLACION VULNERABLE DE LA CIUDAD DE LIMA</t>
  </si>
  <si>
    <t>DESARROLLO DEL POTENCIAL INNOVADOR DE LOS EMPRENDIMIENTOS AGROINDUSTRIALES DE AREQUIPA</t>
  </si>
  <si>
    <t>FORTALECIMIENTO Y DESARROLLO DE  PLANES DE NEGOCIO SOSTENIBLES EN ZONAS DEL BPAM Y COMUNIDADES AWAJÚN EN LA REGIÓN  SAN MARTÍN</t>
  </si>
  <si>
    <t>PROMOCIÓN Y FORTALECIMIENTO DE EMPRENDIMIENTOS DE LA CADENA LOGÍSTICA DE PANADERIA Y GALLETERIA CON ENFOQUE DE INNOVACIÓN Y SOSTENIBILIDAD EN LA PROVINCIA CONSTITUCIONAL DEL CALLAO</t>
  </si>
  <si>
    <t>DESARROLLO DE CAPACIDADES PARA LA GESTIÓN DE INICIATIVAS EMPRESARIALES EN LA MANCOMUNIDAD DEL VALLE SANTA CATALINA EN LA PROVINCIA DE TRUJILLO – LA LIBERTAD</t>
  </si>
  <si>
    <t>FORTALECIMIENTO DE CAPACIDADES PARA LA INSERCIÓN LABORAL INCLUSIVA DE JÓVENES EN EL SECTOR CONFECCIONES  EN LIMA METROPOLITANA</t>
  </si>
  <si>
    <t>ESPINAR EMPRENDE</t>
  </si>
  <si>
    <t>PROGRAMA DE CAPACITACIÓN JUVENIL PARA INSTALACIÓN Y VENTAS DE GAS</t>
  </si>
  <si>
    <t>DESARROLLO DE COMPETENCIAS EMPRESARIALES PARA LA GESTIÓN DE EMPRENDIMIENTOS EN EL DISTRITO DE HUANCHACO, PROVINCIA DE TRUJILLO – REGIÓN LA LIBERTAD</t>
  </si>
  <si>
    <t>PROMOCIÓN Y FORTALECIMIENTO DE EMPRENDIMIENTOS INNOVADORES Y SOSTENIBLES DE LA CADENA LOGÍSTICA DE CAFÉ Y CACAO EN EL DISTRITO DE ALTO SAPOSOA, PROVINCIA DE ALTO HUALLAGA, REGION SAN MARTIÍN</t>
  </si>
  <si>
    <t xml:space="preserve">EMPRENDE TEJIENDO: PROMOCIÓN Y FORTALECIMIENTO DE EMPRENDIMIENTOS TEXTILES A TRAVÉS DE LA INNOVACIÓN Y LA FORMALIZACIÓN EN DISTRITOS VULNERABLES DE LIMA METROPOLITANA.
</t>
  </si>
  <si>
    <t>PROMOCIÓN Y FORTALECIMIENTO DE EMPRENDIMIENTOS RURALES EN LAS PROVINCIAS DE SAN MIGUEL Y SANTA CRUZ EN LA REGIÓN CAJAMARCA</t>
  </si>
  <si>
    <t>FORTALECIMIENTO DE EMPRENDIMIENTOS DE MUJERES DEL SECTOR TEXTIL EN LOS DISTRITOS DE PLATERÍA, ACORA Y CHUCUITO EN LA REGIÓN PUNO</t>
  </si>
  <si>
    <t>PROMOCIÓN Y FORTALECIMIENTO DE EMPRENDIMIENTOS SOSTENIBLES DE LAS CADENAS DE CAFÉ, CACAO, PIÑA Y PLATANO EN LAS PROVINCIAS DE UTCUBAMBA, BAGUA Y CONDORCANQUI - AMAZONAS</t>
  </si>
  <si>
    <t>MEJORAMIENTO DEL AUTOEMPLEO EN LOS EMPRENDIMIENTOS DE LAS CADENAS PRODUCTIVAS DE LA PROVINCIA DE PACHITEA</t>
  </si>
  <si>
    <t xml:space="preserve">DESARROLLO DE COMPETENCIAS LABORALES PARA LA EMPLEABILIDAD E INSERCIÓN LABORAL EN EL PERFIL DE OPERARIO COMERCIAL MULTIFUNCIONAL, EN LA REGION JUNÍN	</t>
  </si>
  <si>
    <t>FORTALECIMIENTO DE CAPACIDADES EMPRESARIALES DE LAS FAMILIAS CAMPESINAS DEL DISTRITO DE CONCHUCOS EN LA PRODUCCIÓN Y COMERCIALIZACIÓN DE PAPA (SOLANUM TUBEROSUM)</t>
  </si>
  <si>
    <t xml:space="preserve">PROPULSOR DE EMPRENDIMIENTOS - PROGRAMA DE APOYO INTEGRAL CON CAPACITACIÓN, CAPITAL SEMILLA, ASISTENCIA TÉCNICA Y ACOMPAÑAMIENTO EN LA IMPLEMENTACIÓN DE PLANES DE NEGOCIOS Y MEJORA CON ENFOQUE DE INCLUSIÓN Y SOSTENIBILIDAD. </t>
  </si>
  <si>
    <t>ASOCIACIÓN EMPRESARIOS POR LA EDUCACIÓN</t>
  </si>
  <si>
    <t>CENTRAL DE ORGANIZACIONES PRODUCTORAS DE CAFÉ Y CACAO DEL PERÚ-CAFÉ PERÚ</t>
  </si>
  <si>
    <t>CENTRO DE COSMIATRIA NUEVO MILENIO SAC</t>
  </si>
  <si>
    <t>CESAL</t>
  </si>
  <si>
    <t>ASOCIACIÓN ES HOY</t>
  </si>
  <si>
    <t>MEGASOLUTIONS EIRL</t>
  </si>
  <si>
    <t>SIX SIGMA CONSULTORES S.R.L.</t>
  </si>
  <si>
    <t>ASOCIACION CIVILDE INVESTIGACION PARA EL DESARROLLO Y LA EMPRESA</t>
  </si>
  <si>
    <t>AGENCIA ADVENTISTA PARA EL DESARROLLO Y RECURSOS ASISTENCIALES</t>
  </si>
  <si>
    <t>APRENDA S.A</t>
  </si>
  <si>
    <t>CENTRO DE EDUCACIÓN Y COMUNICACIÓN GUAMAN POMA DE AYALA</t>
  </si>
  <si>
    <t>CENTRO ECUMÉNICO DE PROMOCIÓN Y ACCIÓN SOCIAL NORTE</t>
  </si>
  <si>
    <t>CENTRO DE DESARROLLO INTEGRAL DE COMUNIDADES - CEDINCO</t>
  </si>
  <si>
    <t>CENTRO DE ESTUDIOS REGIONALES ANDINOS BARTOLOMÉ DE LAS CASAS</t>
  </si>
  <si>
    <t>ASOCIACIÓN CIUDAD DE LOS NIÑOS DE LA INMACULADA</t>
  </si>
  <si>
    <t>GRUPO LA UNICA S.A.C.</t>
  </si>
  <si>
    <t>INSTITUTO DE PROMOCIÓN DEL DESARROLLO SOLIDARIO</t>
  </si>
  <si>
    <t xml:space="preserve">MUNICIPALIDAD DISTRITAL DE UNIÓN ASHANINKA </t>
  </si>
  <si>
    <t>MUNICIPALIDAD DISTRITAL DE VINCHOS</t>
  </si>
  <si>
    <t>ASOCIACIÓN LOS ANDES DE CAJAMARCA</t>
  </si>
  <si>
    <t>UNIVERSIDAD NACIONAL DE CAJAMARCA</t>
  </si>
  <si>
    <t>COOPERATIVA AGRARIA ACOPAGRO LTDA</t>
  </si>
  <si>
    <t>ASOCIACION AGROEXPORTADORA DE LA REGION SAN MARTIN</t>
  </si>
  <si>
    <t>ASOCIACIÓN PARA LA INVESTIGACIÓN Y DESARROLLO INTEGRAL</t>
  </si>
  <si>
    <t>ASOCIACIÓN DE PRODUCTORAS AGROPECUARIAS ALTO RIOJA</t>
  </si>
  <si>
    <t>ASOCIACIÓN DE PRODUCTORES AGRARIOS DE CORDILLERA ANDINA</t>
  </si>
  <si>
    <t>ASOCIACION DE PRODUCTORES BLUE COFFEE DE UBIRIKI</t>
  </si>
  <si>
    <t>CÁRITAS DEL PERÚ</t>
  </si>
  <si>
    <t>ASOCIACIÓN CÁRITAS HUARI</t>
  </si>
  <si>
    <t>CENTRO DE ESTUDIOS PARA EL DESARROLLO Y LA PARTICIPACIÓN - CEDEP</t>
  </si>
  <si>
    <t>O.N.G. CENTRO DE PROMOCION SOCIAL &amp; DESARROLLO ECONOMICO</t>
  </si>
  <si>
    <t>FUNDACIÓN CODESPA</t>
  </si>
  <si>
    <t>COOPERATIVA DE SERVICIOS MULTIPLES SOL&amp;CAFE LTDA</t>
  </si>
  <si>
    <t>COOPERATIVA AGRARIA DEL PERÚ-COOPAPE PERÚ</t>
  </si>
  <si>
    <t>COOPERATIVA AGRARIA APBOSMAM</t>
  </si>
  <si>
    <t>COORDINADORA DE ORGANIZACIONES CAMPESINAS E INSTITUCIONES AGRARIAS DEL PERÚ</t>
  </si>
  <si>
    <t>CONSORCIO DE ORGANIZACIONES PRIVADAS DE PROMOCIÓN AL DESARROLLO DE LA MICRO Y PEQUEÑA EMPRESA</t>
  </si>
  <si>
    <t>DIACONÍA, ASOCIACIÓN EVANGÉLICA LUTERANA DE AYUDA PARA EL DESARROLLO COMUNAL</t>
  </si>
  <si>
    <t>ASOCIACION ECOSISTEMAS ANDINOS</t>
  </si>
  <si>
    <t>EL TALLER ASOCIACIÓN DE PROMOCIÓN Y DESARROLLO</t>
  </si>
  <si>
    <t>EMPRESA DE SERVICIOS GENERALES CONSULTORES E INVERSIONES ESAING S.A.C. - ESAING S.A.C.</t>
  </si>
  <si>
    <t>FONDO SOCIAL DEL PROYECTO INTEGRAL BAYOVAR - FOSPIBAY</t>
  </si>
  <si>
    <t xml:space="preserve">INSTITUTO DE INVESTIGACIÓN Y PROMOCIÓN DEL NORTE </t>
  </si>
  <si>
    <t xml:space="preserve">INSTITUTO DEL BIEN COMÚN </t>
  </si>
  <si>
    <t>INSTITUTO TECNOLÓGICO DE LA PRODUCCIÓN</t>
  </si>
  <si>
    <t>MUNICIPALIDAD DISTRITAL DE CALZADA</t>
  </si>
  <si>
    <t>MUNICIPALIDAD DISTRITAL DE HABANA</t>
  </si>
  <si>
    <t>MUNICIPALIDAD DISTRITAL DE MAGDALENA</t>
  </si>
  <si>
    <t>MUNICIPALIDAD DISTRITAL DE SAN JUAN BAUTISTA</t>
  </si>
  <si>
    <t>MUNICIPALIDAD DISTRITAL DE VILLA KINTIARINA</t>
  </si>
  <si>
    <t>MUNICIPALIDAD DISTRITAL DE VILLA VIRGEN</t>
  </si>
  <si>
    <t>MUNICIPALIDAD DISTRITAL DE TUTI</t>
  </si>
  <si>
    <t>ORGANISMO PARA EL DESARROLLO INTEGRAL SOSTENIBLE</t>
  </si>
  <si>
    <t>ASOCIACIÓN BENÉFICA PRISMA</t>
  </si>
  <si>
    <t>ASOCIACION PROMOCION DE LA GESTION RURAL ECONOMICA Y SOCIAL</t>
  </si>
  <si>
    <t>RED DE ALIADOS PARA LAS SOCIEDADES ABANDONADAS RASA JOVEN</t>
  </si>
  <si>
    <t>COOPERATIVA DE SERVICIOS MULTIPLES SORICAFE</t>
  </si>
  <si>
    <t>ARTESANO ASOCIADOS SUMAC PALLAY SIBAYO</t>
  </si>
  <si>
    <t>ASOCIACIÓN CIVIL SIN FINES DE LUCRO "VECINOS PERÚ"</t>
  </si>
  <si>
    <t>COOPERATIVA AGRARIA COOPBAM</t>
  </si>
  <si>
    <t xml:space="preserve">ASOCIACION DE PRODUCTORES CERRO BLANCO </t>
  </si>
  <si>
    <t>TALLER DE PROMOCION ANDINA</t>
  </si>
  <si>
    <t xml:space="preserve">UNIVERSIDAD NACIONAL AUTÓNOMA DE CHOTA	</t>
  </si>
  <si>
    <t>WORLD VISION PERÚ</t>
  </si>
  <si>
    <t>FUNDACIÓN PANAMERICANA PARA EL DESARROLLO (PADF)</t>
  </si>
  <si>
    <t xml:space="preserve">FUNDACIÓN PANAMERICANA PARA EL DESARROLLO (PADF)	</t>
  </si>
  <si>
    <t xml:space="preserve">CENTRO ECUMÉNICO DE PROMOCIÓN Y ACCIÓN SOCIAL NORTE	</t>
  </si>
  <si>
    <t xml:space="preserve">ASOCIACIÓN CIUDAD DE LOS NIÑOS DE LA INMACULADA	</t>
  </si>
  <si>
    <t xml:space="preserve">INSTITUCION EDUCATIVA CEBA "SAN ISIDRO"	</t>
  </si>
  <si>
    <t>MUNICIPALIDAD PROVINCIAL DE HUANTA</t>
  </si>
  <si>
    <t>ASOCIACION BENEFICA PRISMA</t>
  </si>
  <si>
    <t xml:space="preserve">CASYSA C&amp;B SAC	</t>
  </si>
  <si>
    <t>MUNICIPALIDAD PROVINCIAL DE HUANCASANCOS</t>
  </si>
  <si>
    <t>CORPORACIÓN ANALPES PERÚ SAC</t>
  </si>
  <si>
    <t>MUNICIPALIDAD DISTRITAL DE MANITEA</t>
  </si>
  <si>
    <t>SAVE THE CHILDREN INTERNATIONAL</t>
  </si>
  <si>
    <t>CORCELI S.A.C</t>
  </si>
  <si>
    <t>VISIT USA PERU</t>
  </si>
  <si>
    <t>SERVICIO NACIONAL DE ADIESTRAMIENTO EN TRABAJO INDUSTRIAL</t>
  </si>
  <si>
    <t xml:space="preserve">ADERCONSULT S.R.L.	</t>
  </si>
  <si>
    <t>ADERCONSULT SRL</t>
  </si>
  <si>
    <t xml:space="preserve">DISMAR SEAFOOD SAC	</t>
  </si>
  <si>
    <t>MUNICIPALIDAD DISTRITAL DE CHIARA</t>
  </si>
  <si>
    <t>MUNICIPALIDAD DISTRITAL DE ANDRES AVELINO CACERES DORREGARAY</t>
  </si>
  <si>
    <t>CHIO LECA FASHION SAC</t>
  </si>
  <si>
    <t>MUNICIPALIDAD PROVINCIAL DE HUAMANGA</t>
  </si>
  <si>
    <t xml:space="preserve">MUNICIPALIDAD DISTRITAL DE MATAPALO	</t>
  </si>
  <si>
    <t xml:space="preserve">PLASTICOS AGRICOLAS Y GEOMEMBRANAS SAC	</t>
  </si>
  <si>
    <t>GOBIERNO REGIONAL DE AREQUIPA</t>
  </si>
  <si>
    <t>ACCURATEX LATAM S.A.C.</t>
  </si>
  <si>
    <t>ASOCIACIÓN DE PRODUCTORES SELVA NORORIENTAL</t>
  </si>
  <si>
    <t>SIMBIO PERU SAC</t>
  </si>
  <si>
    <t>CONSORCIO DE ONG'S PROMOCION DE LA MUJER Y DE LA COMUNIDAD</t>
  </si>
  <si>
    <t>MET PERÚ SERVICES S.A.C</t>
  </si>
  <si>
    <t>CONCYSSA INDUSTRIAL S.A.C.</t>
  </si>
  <si>
    <t>ASOCIACIÓN CIVIL DE INVESTIGACIÓN PARA EL DESARROLLO Y LA EMPRESA - ACIDE</t>
  </si>
  <si>
    <t>GERENCIA REGIONAL DE TRABAJO Y PROMOCIÓN DEL EMPLEO</t>
  </si>
  <si>
    <t xml:space="preserve">DISTRIBUIDORA COMERCIAL ALVAREZ BOHL SRL </t>
  </si>
  <si>
    <t>GOBIERNO REGIONAL DEL CALLAO</t>
  </si>
  <si>
    <t>MUNICIPALIDAD DISTRITAL DE LAREDO</t>
  </si>
  <si>
    <t>ALTERNATIVA CENTRO DE INVESTIGACIÓN SOCIAL Y EDUCACIÓN POPULAR</t>
  </si>
  <si>
    <t>COLECTIVO INTEGRAL DE DESARROLLO</t>
  </si>
  <si>
    <t>TECSUP N°1</t>
  </si>
  <si>
    <t>MUNICIPALIDAD DISTRITAL ALTO SAPOSOA</t>
  </si>
  <si>
    <t>GRUPO EMPRESARIAL SUMAQINNOVA SAC</t>
  </si>
  <si>
    <t>ASOCIACIÓN CIVIL DE INVESTIGACIÓN PARA EL DESARROLLO Y LA  EMPRESA - ACIDE</t>
  </si>
  <si>
    <t>UNIVERSIDAD NACIONAL INTERCULTURAL FABIOLA SALAZAR LEGUÍA DE BAGUA</t>
  </si>
  <si>
    <t>MUNICIPALIDAD PROVINCIAL DE PACHITEA</t>
  </si>
  <si>
    <t xml:space="preserve">SOCIEDAD EDUCATIVA INTERAMERICANO RC S.A.	</t>
  </si>
  <si>
    <t>CENTRO DE INVESTIGACIÓN Y DESARROLLO SOSTENIBLE DE LAS REGIONES DEL PERÚ</t>
  </si>
  <si>
    <t>Universidad Católica de Santa María</t>
  </si>
  <si>
    <t>Indirecta (Instituciones públicas con financiamiento del presupuesto público)</t>
  </si>
  <si>
    <t>Indirecta (instituciones con financiamiento del presupuesto público)</t>
  </si>
  <si>
    <t>PIURA</t>
  </si>
  <si>
    <t>LIMA</t>
  </si>
  <si>
    <t>SAN MARTIN</t>
  </si>
  <si>
    <t>JUNIN</t>
  </si>
  <si>
    <t>AREQUIPA</t>
  </si>
  <si>
    <t>AMAZONAS</t>
  </si>
  <si>
    <t>CALLAO</t>
  </si>
  <si>
    <t>CUSCO</t>
  </si>
  <si>
    <t>HUANCAVELICA</t>
  </si>
  <si>
    <t>AYACUCHO</t>
  </si>
  <si>
    <t>CAJAMARCA</t>
  </si>
  <si>
    <t>UCAYALI</t>
  </si>
  <si>
    <t>ANCASH</t>
  </si>
  <si>
    <t>LAMBAYEQUE</t>
  </si>
  <si>
    <t>APURIMAC</t>
  </si>
  <si>
    <t>LA LIBERTAD</t>
  </si>
  <si>
    <t>MOQUEGUA</t>
  </si>
  <si>
    <t>HUANUCO</t>
  </si>
  <si>
    <t>PASCO</t>
  </si>
  <si>
    <t>PUNO</t>
  </si>
  <si>
    <t>MADRE DE DIOS</t>
  </si>
  <si>
    <t>ICA</t>
  </si>
  <si>
    <t>TUMBES</t>
  </si>
  <si>
    <t xml:space="preserve"> </t>
  </si>
  <si>
    <t/>
  </si>
  <si>
    <t>NO HABILITADA</t>
  </si>
  <si>
    <t>Numero</t>
  </si>
  <si>
    <t>descripcion</t>
  </si>
  <si>
    <t>fase</t>
  </si>
  <si>
    <t>concurso</t>
  </si>
  <si>
    <t>consurso</t>
  </si>
  <si>
    <t>aprobación de la Viabilidad Técnica y Financiera</t>
  </si>
  <si>
    <t>proyecto</t>
  </si>
  <si>
    <t>ejecutado</t>
  </si>
  <si>
    <t>concurso inscripción</t>
  </si>
  <si>
    <t>aprobación requisitos</t>
  </si>
  <si>
    <t>En ejecución</t>
  </si>
  <si>
    <t>no habilitada</t>
  </si>
  <si>
    <t>numero</t>
  </si>
  <si>
    <t>periodo</t>
  </si>
  <si>
    <t>eje</t>
  </si>
  <si>
    <t>línea</t>
  </si>
  <si>
    <t>nombre proyecto o servicio</t>
  </si>
  <si>
    <t>institución ejecutora</t>
  </si>
  <si>
    <t>código del proyecto</t>
  </si>
  <si>
    <t>modalidad de ejecución</t>
  </si>
  <si>
    <t>región</t>
  </si>
  <si>
    <t>cantidad de beneficiarios</t>
  </si>
  <si>
    <t xml:space="preserve">fondoempleo </t>
  </si>
  <si>
    <t xml:space="preserve">contrapartida </t>
  </si>
  <si>
    <t>etapa</t>
  </si>
  <si>
    <t>Concursal Activate</t>
  </si>
  <si>
    <t>Sectorial</t>
  </si>
  <si>
    <t>Apoyo a Trabajadores de las Empresas de los Sectores Aportantes</t>
  </si>
  <si>
    <t>Empresas de Sectores Aportantes</t>
  </si>
  <si>
    <t>Proyectos</t>
  </si>
  <si>
    <t>Becas</t>
  </si>
  <si>
    <t>Sevicios</t>
  </si>
  <si>
    <t>Proyectos Productivos</t>
  </si>
  <si>
    <t>Beca Trabajadores</t>
  </si>
  <si>
    <t>Capacitación para Inserción Laboral</t>
  </si>
  <si>
    <t>Capacitación para Reconversión Laboral</t>
  </si>
  <si>
    <t>Capacitación para Emprendimientos</t>
  </si>
  <si>
    <t>Capacitación Laboral</t>
  </si>
  <si>
    <t>Fortalecimiento Organizacional</t>
  </si>
  <si>
    <t>Beca Supérate</t>
  </si>
  <si>
    <t>Beca de Mejora de la Empleabilidad en Megaproyectos</t>
  </si>
  <si>
    <t>Concurso</t>
  </si>
  <si>
    <t>Postulación abierta</t>
  </si>
  <si>
    <t>Trabajadores de empresas de sectores aportantes</t>
  </si>
  <si>
    <t>Mayores de 18 años con énfasis en la población de grupos vulnerables</t>
  </si>
  <si>
    <t>Jóvenes hasta 29 años en situación de vulnerabilidad</t>
  </si>
  <si>
    <t>avance</t>
  </si>
  <si>
    <t>directa</t>
  </si>
  <si>
    <t>indirecta</t>
  </si>
  <si>
    <t>Áncash</t>
  </si>
  <si>
    <t>Apurímac</t>
  </si>
  <si>
    <t>Callao</t>
  </si>
  <si>
    <t>Huánuco</t>
  </si>
  <si>
    <t>Loreto</t>
  </si>
  <si>
    <t>Pasco</t>
  </si>
  <si>
    <t>Tacna</t>
  </si>
  <si>
    <t>Tumbes</t>
  </si>
  <si>
    <t>Ucayali</t>
  </si>
  <si>
    <t>CAMPOS DE INSTITUCION EJECUTORA</t>
  </si>
  <si>
    <t>nombre</t>
  </si>
  <si>
    <t>direccion</t>
  </si>
  <si>
    <t>correo</t>
  </si>
  <si>
    <t>contacto</t>
  </si>
  <si>
    <t>fecha</t>
  </si>
  <si>
    <t>justificacion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</si>
</sst>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44" formatCode="_-&quot;S/&quot;\ * #,##0.00_-;\-&quot;S/&quot;\ * #,##0.00_-;_-&quot;S/&quot;\ * &quot;-&quot;??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6"/>
      <color rgb="FF000000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6"/>
      <color rgb="FFAEAEAE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E6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 wrapText="1"/>
    </xf>
    <xf numFmtId="44" fontId="6" fillId="3" borderId="1" xfId="0" applyNumberFormat="1" applyFont="1" applyFill="1" applyBorder="1" applyAlignment="1">
      <alignment horizontal="center" vertical="center" wrapText="1"/>
    </xf>
    <xf numFmtId="44" fontId="7" fillId="0" borderId="1" xfId="0" applyNumberFormat="1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44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0" xfId="0" applyFill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wrapText="1"/>
    </xf>
    <xf numFmtId="44" fontId="7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8560-5969-4F32-A1F1-E9DF228E4A6F}">
  <dimension ref="A1:S193"/>
  <sheetViews>
    <sheetView showGridLines="0" zoomScaleNormal="100" workbookViewId="0">
      <pane ySplit="1" topLeftCell="A71" activePane="bottomLeft" state="frozen"/>
      <selection pane="bottomLeft" activeCell="D194" sqref="D194"/>
    </sheetView>
  </sheetViews>
  <sheetFormatPr baseColWidth="10" defaultColWidth="11.42578125" defaultRowHeight="15" x14ac:dyDescent="0.25"/>
  <cols>
    <col min="1" max="1" width="8.140625" style="1" customWidth="1"/>
    <col min="2" max="2" width="10" style="1" customWidth="1"/>
    <col min="3" max="3" width="4.140625" style="1" bestFit="1" customWidth="1"/>
    <col min="4" max="4" width="5.85546875" style="1" bestFit="1" customWidth="1"/>
    <col min="5" max="5" width="44.5703125" style="2" customWidth="1"/>
    <col min="6" max="6" width="19.7109375" style="2" customWidth="1"/>
    <col min="7" max="7" width="13.28515625" style="1" customWidth="1"/>
    <col min="8" max="9" width="13.7109375" style="1" customWidth="1"/>
    <col min="10" max="10" width="14.28515625" style="1" customWidth="1"/>
    <col min="11" max="11" width="22.7109375" style="1" customWidth="1"/>
    <col min="12" max="12" width="19.28515625" style="1" customWidth="1"/>
    <col min="13" max="13" width="23.28515625" style="3" customWidth="1"/>
    <col min="14" max="14" width="22.7109375" style="1" customWidth="1"/>
  </cols>
  <sheetData>
    <row r="1" spans="1:19" s="4" customFormat="1" ht="60" customHeight="1" thickBot="1" x14ac:dyDescent="0.3">
      <c r="A1" s="35" t="s">
        <v>463</v>
      </c>
      <c r="B1" s="36" t="s">
        <v>464</v>
      </c>
      <c r="C1" s="36" t="s">
        <v>465</v>
      </c>
      <c r="D1" s="36" t="s">
        <v>466</v>
      </c>
      <c r="E1" s="36" t="s">
        <v>467</v>
      </c>
      <c r="F1" s="37" t="s">
        <v>468</v>
      </c>
      <c r="G1" s="37" t="s">
        <v>469</v>
      </c>
      <c r="H1" s="37" t="s">
        <v>470</v>
      </c>
      <c r="I1" s="36" t="s">
        <v>471</v>
      </c>
      <c r="J1" s="37" t="s">
        <v>472</v>
      </c>
      <c r="K1" s="38" t="s">
        <v>473</v>
      </c>
      <c r="L1" s="38" t="s">
        <v>474</v>
      </c>
      <c r="M1" s="37" t="s">
        <v>475</v>
      </c>
      <c r="N1" s="38" t="s">
        <v>497</v>
      </c>
      <c r="O1" s="34"/>
      <c r="P1" s="34"/>
      <c r="Q1" s="34"/>
      <c r="R1" s="34"/>
      <c r="S1" s="34"/>
    </row>
    <row r="2" spans="1:19" s="10" customFormat="1" ht="34.15" customHeight="1" x14ac:dyDescent="0.2">
      <c r="A2" s="5">
        <v>1</v>
      </c>
      <c r="B2" s="5">
        <v>2026</v>
      </c>
      <c r="C2" s="6">
        <v>1</v>
      </c>
      <c r="D2" s="5">
        <v>1</v>
      </c>
      <c r="E2" s="7" t="s">
        <v>0</v>
      </c>
      <c r="F2" s="7" t="s">
        <v>1</v>
      </c>
      <c r="G2" s="8" t="s">
        <v>2</v>
      </c>
      <c r="H2" s="8" t="s">
        <v>3</v>
      </c>
      <c r="I2" s="8" t="s">
        <v>4</v>
      </c>
      <c r="J2" s="5">
        <v>140</v>
      </c>
      <c r="K2" s="9">
        <v>1000000</v>
      </c>
      <c r="L2" s="9">
        <v>1037289</v>
      </c>
      <c r="M2" s="6" t="s">
        <v>459</v>
      </c>
      <c r="N2" s="9">
        <v>0</v>
      </c>
    </row>
    <row r="3" spans="1:19" s="10" customFormat="1" ht="71.25" x14ac:dyDescent="0.2">
      <c r="A3" s="5">
        <v>2</v>
      </c>
      <c r="B3" s="5">
        <v>2026</v>
      </c>
      <c r="C3" s="6">
        <v>1</v>
      </c>
      <c r="D3" s="5">
        <v>1</v>
      </c>
      <c r="E3" s="7" t="s">
        <v>5</v>
      </c>
      <c r="F3" s="7" t="s">
        <v>6</v>
      </c>
      <c r="G3" s="8" t="s">
        <v>7</v>
      </c>
      <c r="H3" s="8" t="s">
        <v>3</v>
      </c>
      <c r="I3" s="8" t="s">
        <v>4</v>
      </c>
      <c r="J3" s="5">
        <v>50</v>
      </c>
      <c r="K3" s="9">
        <v>131500</v>
      </c>
      <c r="L3" s="9">
        <v>704034</v>
      </c>
      <c r="M3" s="6" t="s">
        <v>459</v>
      </c>
      <c r="N3" s="9">
        <v>0</v>
      </c>
    </row>
    <row r="4" spans="1:19" s="10" customFormat="1" ht="85.5" x14ac:dyDescent="0.2">
      <c r="A4" s="5">
        <v>3</v>
      </c>
      <c r="B4" s="5">
        <v>2026</v>
      </c>
      <c r="C4" s="6">
        <v>1</v>
      </c>
      <c r="D4" s="5">
        <v>1</v>
      </c>
      <c r="E4" s="7" t="s">
        <v>8</v>
      </c>
      <c r="F4" s="7" t="s">
        <v>9</v>
      </c>
      <c r="G4" s="8" t="s">
        <v>10</v>
      </c>
      <c r="H4" s="8" t="s">
        <v>3</v>
      </c>
      <c r="I4" s="8" t="s">
        <v>11</v>
      </c>
      <c r="J4" s="5">
        <v>40</v>
      </c>
      <c r="K4" s="9">
        <v>87894</v>
      </c>
      <c r="L4" s="9">
        <v>17490</v>
      </c>
      <c r="M4" s="6" t="s">
        <v>459</v>
      </c>
      <c r="N4" s="9">
        <v>0</v>
      </c>
    </row>
    <row r="5" spans="1:19" s="10" customFormat="1" ht="57" x14ac:dyDescent="0.2">
      <c r="A5" s="5">
        <v>4</v>
      </c>
      <c r="B5" s="5">
        <v>2026</v>
      </c>
      <c r="C5" s="6">
        <v>1</v>
      </c>
      <c r="D5" s="12">
        <v>2</v>
      </c>
      <c r="E5" s="7" t="s">
        <v>12</v>
      </c>
      <c r="F5" s="7" t="s">
        <v>13</v>
      </c>
      <c r="G5" s="8" t="s">
        <v>14</v>
      </c>
      <c r="H5" s="8" t="s">
        <v>3</v>
      </c>
      <c r="I5" s="8" t="s">
        <v>15</v>
      </c>
      <c r="J5" s="8">
        <v>400</v>
      </c>
      <c r="K5" s="9">
        <v>999597</v>
      </c>
      <c r="L5" s="9">
        <v>184277</v>
      </c>
      <c r="M5" s="6" t="s">
        <v>459</v>
      </c>
      <c r="N5" s="9">
        <v>0</v>
      </c>
    </row>
    <row r="6" spans="1:19" s="10" customFormat="1" ht="71.25" x14ac:dyDescent="0.2">
      <c r="A6" s="5">
        <v>5</v>
      </c>
      <c r="B6" s="5">
        <v>2026</v>
      </c>
      <c r="C6" s="6">
        <v>1</v>
      </c>
      <c r="D6" s="5">
        <v>3</v>
      </c>
      <c r="E6" s="7" t="s">
        <v>16</v>
      </c>
      <c r="F6" s="7" t="s">
        <v>17</v>
      </c>
      <c r="G6" s="8" t="s">
        <v>18</v>
      </c>
      <c r="H6" s="8" t="s">
        <v>3</v>
      </c>
      <c r="I6" s="8" t="s">
        <v>19</v>
      </c>
      <c r="J6" s="8">
        <v>160</v>
      </c>
      <c r="K6" s="9">
        <v>999993</v>
      </c>
      <c r="L6" s="9">
        <v>205900</v>
      </c>
      <c r="M6" s="6" t="s">
        <v>459</v>
      </c>
      <c r="N6" s="9">
        <v>0</v>
      </c>
    </row>
    <row r="7" spans="1:19" s="10" customFormat="1" ht="85.5" x14ac:dyDescent="0.2">
      <c r="A7" s="5">
        <v>6</v>
      </c>
      <c r="B7" s="5">
        <v>2026</v>
      </c>
      <c r="C7" s="6">
        <v>1</v>
      </c>
      <c r="D7" s="5">
        <v>3</v>
      </c>
      <c r="E7" s="7" t="s">
        <v>20</v>
      </c>
      <c r="F7" s="7" t="s">
        <v>21</v>
      </c>
      <c r="G7" s="8" t="s">
        <v>22</v>
      </c>
      <c r="H7" s="8" t="s">
        <v>3</v>
      </c>
      <c r="I7" s="8" t="s">
        <v>23</v>
      </c>
      <c r="J7" s="8">
        <v>200</v>
      </c>
      <c r="K7" s="9">
        <v>763507</v>
      </c>
      <c r="L7" s="9">
        <v>205460</v>
      </c>
      <c r="M7" s="6" t="s">
        <v>459</v>
      </c>
      <c r="N7" s="9">
        <v>0</v>
      </c>
    </row>
    <row r="8" spans="1:19" s="10" customFormat="1" ht="85.5" x14ac:dyDescent="0.2">
      <c r="A8" s="5">
        <v>7</v>
      </c>
      <c r="B8" s="5">
        <v>2026</v>
      </c>
      <c r="C8" s="6">
        <v>1</v>
      </c>
      <c r="D8" s="5">
        <v>3</v>
      </c>
      <c r="E8" s="7" t="s">
        <v>24</v>
      </c>
      <c r="F8" s="7" t="s">
        <v>25</v>
      </c>
      <c r="G8" s="8" t="s">
        <v>26</v>
      </c>
      <c r="H8" s="8" t="s">
        <v>3</v>
      </c>
      <c r="I8" s="8" t="s">
        <v>27</v>
      </c>
      <c r="J8" s="8">
        <v>60</v>
      </c>
      <c r="K8" s="9">
        <v>469582</v>
      </c>
      <c r="L8" s="9">
        <v>97600</v>
      </c>
      <c r="M8" s="6" t="s">
        <v>459</v>
      </c>
      <c r="N8" s="9">
        <v>0</v>
      </c>
    </row>
    <row r="9" spans="1:19" s="10" customFormat="1" ht="99.75" x14ac:dyDescent="0.2">
      <c r="A9" s="5">
        <v>8</v>
      </c>
      <c r="B9" s="5">
        <v>2026</v>
      </c>
      <c r="C9" s="6">
        <v>1</v>
      </c>
      <c r="D9" s="5">
        <v>3</v>
      </c>
      <c r="E9" s="7" t="s">
        <v>28</v>
      </c>
      <c r="F9" s="7" t="s">
        <v>29</v>
      </c>
      <c r="G9" s="8" t="s">
        <v>30</v>
      </c>
      <c r="H9" s="8" t="s">
        <v>3</v>
      </c>
      <c r="I9" s="8" t="s">
        <v>19</v>
      </c>
      <c r="J9" s="8">
        <v>180</v>
      </c>
      <c r="K9" s="9">
        <v>991721</v>
      </c>
      <c r="L9" s="9">
        <v>197058</v>
      </c>
      <c r="M9" s="6" t="s">
        <v>459</v>
      </c>
      <c r="N9" s="9">
        <v>0</v>
      </c>
    </row>
    <row r="10" spans="1:19" s="10" customFormat="1" ht="99.75" x14ac:dyDescent="0.2">
      <c r="A10" s="5">
        <v>9</v>
      </c>
      <c r="B10" s="5">
        <v>2026</v>
      </c>
      <c r="C10" s="6">
        <v>1</v>
      </c>
      <c r="D10" s="5">
        <v>3</v>
      </c>
      <c r="E10" s="7" t="s">
        <v>31</v>
      </c>
      <c r="F10" s="7" t="s">
        <v>32</v>
      </c>
      <c r="G10" s="8" t="s">
        <v>33</v>
      </c>
      <c r="H10" s="8" t="s">
        <v>3</v>
      </c>
      <c r="I10" s="8" t="s">
        <v>11</v>
      </c>
      <c r="J10" s="8">
        <v>70</v>
      </c>
      <c r="K10" s="9">
        <v>274971</v>
      </c>
      <c r="L10" s="9">
        <v>138020</v>
      </c>
      <c r="M10" s="6" t="s">
        <v>459</v>
      </c>
      <c r="N10" s="9">
        <v>0</v>
      </c>
    </row>
    <row r="11" spans="1:19" s="10" customFormat="1" ht="71.25" x14ac:dyDescent="0.2">
      <c r="A11" s="5">
        <v>10</v>
      </c>
      <c r="B11" s="5">
        <v>2026</v>
      </c>
      <c r="C11" s="6">
        <v>1</v>
      </c>
      <c r="D11" s="5">
        <v>3</v>
      </c>
      <c r="E11" s="7" t="s">
        <v>34</v>
      </c>
      <c r="F11" s="7" t="s">
        <v>35</v>
      </c>
      <c r="G11" s="8" t="s">
        <v>36</v>
      </c>
      <c r="H11" s="8" t="s">
        <v>37</v>
      </c>
      <c r="I11" s="8" t="s">
        <v>38</v>
      </c>
      <c r="J11" s="8">
        <v>100</v>
      </c>
      <c r="K11" s="9">
        <v>751532</v>
      </c>
      <c r="L11" s="9">
        <v>156800</v>
      </c>
      <c r="M11" s="6" t="s">
        <v>459</v>
      </c>
      <c r="N11" s="9">
        <v>0</v>
      </c>
    </row>
    <row r="12" spans="1:19" s="10" customFormat="1" ht="42.75" x14ac:dyDescent="0.2">
      <c r="A12" s="5">
        <v>11</v>
      </c>
      <c r="B12" s="5">
        <v>2026</v>
      </c>
      <c r="C12" s="6">
        <v>1</v>
      </c>
      <c r="D12" s="5">
        <v>3</v>
      </c>
      <c r="E12" s="7" t="s">
        <v>39</v>
      </c>
      <c r="F12" s="7" t="s">
        <v>40</v>
      </c>
      <c r="G12" s="8" t="s">
        <v>41</v>
      </c>
      <c r="H12" s="8" t="s">
        <v>3</v>
      </c>
      <c r="I12" s="8" t="s">
        <v>42</v>
      </c>
      <c r="J12" s="8">
        <v>180</v>
      </c>
      <c r="K12" s="9">
        <v>923887</v>
      </c>
      <c r="L12" s="9">
        <v>320740</v>
      </c>
      <c r="M12" s="6" t="s">
        <v>459</v>
      </c>
      <c r="N12" s="9">
        <v>0</v>
      </c>
    </row>
    <row r="13" spans="1:19" s="10" customFormat="1" ht="40.9" customHeight="1" x14ac:dyDescent="0.2">
      <c r="A13" s="5">
        <v>12</v>
      </c>
      <c r="B13" s="5">
        <v>2026</v>
      </c>
      <c r="C13" s="6">
        <v>1</v>
      </c>
      <c r="D13" s="5">
        <v>3</v>
      </c>
      <c r="E13" s="7" t="s">
        <v>43</v>
      </c>
      <c r="F13" s="7" t="s">
        <v>44</v>
      </c>
      <c r="G13" s="8" t="s">
        <v>45</v>
      </c>
      <c r="H13" s="8" t="s">
        <v>37</v>
      </c>
      <c r="I13" s="8" t="s">
        <v>42</v>
      </c>
      <c r="J13" s="8">
        <v>180</v>
      </c>
      <c r="K13" s="9">
        <v>915081</v>
      </c>
      <c r="L13" s="9">
        <v>206340</v>
      </c>
      <c r="M13" s="6" t="s">
        <v>459</v>
      </c>
      <c r="N13" s="9">
        <v>0</v>
      </c>
    </row>
    <row r="14" spans="1:19" s="10" customFormat="1" ht="71.25" x14ac:dyDescent="0.2">
      <c r="A14" s="5">
        <v>13</v>
      </c>
      <c r="B14" s="5">
        <v>2026</v>
      </c>
      <c r="C14" s="6">
        <v>1</v>
      </c>
      <c r="D14" s="5">
        <v>4</v>
      </c>
      <c r="E14" s="7" t="s">
        <v>46</v>
      </c>
      <c r="F14" s="7" t="s">
        <v>47</v>
      </c>
      <c r="G14" s="8" t="s">
        <v>48</v>
      </c>
      <c r="H14" s="8" t="s">
        <v>3</v>
      </c>
      <c r="I14" s="8" t="s">
        <v>49</v>
      </c>
      <c r="J14" s="8">
        <v>500</v>
      </c>
      <c r="K14" s="9">
        <v>1000000</v>
      </c>
      <c r="L14" s="9">
        <v>270000</v>
      </c>
      <c r="M14" s="6" t="s">
        <v>459</v>
      </c>
      <c r="N14" s="9">
        <v>0</v>
      </c>
    </row>
    <row r="15" spans="1:19" s="10" customFormat="1" ht="85.5" x14ac:dyDescent="0.2">
      <c r="A15" s="5">
        <v>14</v>
      </c>
      <c r="B15" s="5">
        <v>2026</v>
      </c>
      <c r="C15" s="6">
        <v>1</v>
      </c>
      <c r="D15" s="5">
        <v>4</v>
      </c>
      <c r="E15" s="7" t="s">
        <v>50</v>
      </c>
      <c r="F15" s="7" t="s">
        <v>51</v>
      </c>
      <c r="G15" s="8" t="s">
        <v>52</v>
      </c>
      <c r="H15" s="8" t="s">
        <v>3</v>
      </c>
      <c r="I15" s="8" t="s">
        <v>49</v>
      </c>
      <c r="J15" s="8">
        <v>50</v>
      </c>
      <c r="K15" s="9">
        <v>489037</v>
      </c>
      <c r="L15" s="9">
        <v>165987</v>
      </c>
      <c r="M15" s="6" t="s">
        <v>459</v>
      </c>
      <c r="N15" s="9">
        <v>0</v>
      </c>
    </row>
    <row r="16" spans="1:19" s="10" customFormat="1" ht="71.25" x14ac:dyDescent="0.2">
      <c r="A16" s="5">
        <v>15</v>
      </c>
      <c r="B16" s="5">
        <v>2026</v>
      </c>
      <c r="C16" s="6">
        <v>1</v>
      </c>
      <c r="D16" s="5">
        <v>4</v>
      </c>
      <c r="E16" s="7" t="s">
        <v>53</v>
      </c>
      <c r="F16" s="7" t="s">
        <v>21</v>
      </c>
      <c r="G16" s="8" t="s">
        <v>54</v>
      </c>
      <c r="H16" s="8" t="s">
        <v>3</v>
      </c>
      <c r="I16" s="8" t="s">
        <v>42</v>
      </c>
      <c r="J16" s="8">
        <v>350</v>
      </c>
      <c r="K16" s="9">
        <v>994569</v>
      </c>
      <c r="L16" s="9">
        <v>3954016</v>
      </c>
      <c r="M16" s="6" t="s">
        <v>459</v>
      </c>
      <c r="N16" s="9">
        <v>0</v>
      </c>
    </row>
    <row r="17" spans="1:14" s="10" customFormat="1" ht="85.5" x14ac:dyDescent="0.2">
      <c r="A17" s="5">
        <v>16</v>
      </c>
      <c r="B17" s="5">
        <v>2026</v>
      </c>
      <c r="C17" s="6">
        <v>1</v>
      </c>
      <c r="D17" s="5">
        <v>4</v>
      </c>
      <c r="E17" s="7" t="s">
        <v>55</v>
      </c>
      <c r="F17" s="7" t="s">
        <v>56</v>
      </c>
      <c r="G17" s="8" t="s">
        <v>57</v>
      </c>
      <c r="H17" s="8" t="s">
        <v>3</v>
      </c>
      <c r="I17" s="8" t="s">
        <v>27</v>
      </c>
      <c r="J17" s="8">
        <v>100</v>
      </c>
      <c r="K17" s="9">
        <v>458314</v>
      </c>
      <c r="L17" s="9">
        <v>502850</v>
      </c>
      <c r="M17" s="6" t="s">
        <v>459</v>
      </c>
      <c r="N17" s="9">
        <v>0</v>
      </c>
    </row>
    <row r="18" spans="1:14" s="10" customFormat="1" ht="71.25" x14ac:dyDescent="0.2">
      <c r="A18" s="5">
        <v>17</v>
      </c>
      <c r="B18" s="5">
        <v>2026</v>
      </c>
      <c r="C18" s="6">
        <v>1</v>
      </c>
      <c r="D18" s="5">
        <v>4</v>
      </c>
      <c r="E18" s="7" t="s">
        <v>58</v>
      </c>
      <c r="F18" s="7" t="s">
        <v>59</v>
      </c>
      <c r="G18" s="8" t="s">
        <v>60</v>
      </c>
      <c r="H18" s="8" t="s">
        <v>3</v>
      </c>
      <c r="I18" s="8" t="s">
        <v>11</v>
      </c>
      <c r="J18" s="8">
        <v>300</v>
      </c>
      <c r="K18" s="9">
        <v>999503</v>
      </c>
      <c r="L18" s="9">
        <v>984500</v>
      </c>
      <c r="M18" s="6" t="s">
        <v>459</v>
      </c>
      <c r="N18" s="9">
        <v>0</v>
      </c>
    </row>
    <row r="19" spans="1:14" s="10" customFormat="1" ht="71.25" x14ac:dyDescent="0.2">
      <c r="A19" s="5">
        <v>18</v>
      </c>
      <c r="B19" s="5">
        <v>2026</v>
      </c>
      <c r="C19" s="6">
        <v>1</v>
      </c>
      <c r="D19" s="5">
        <v>4</v>
      </c>
      <c r="E19" s="7" t="s">
        <v>61</v>
      </c>
      <c r="F19" s="7" t="s">
        <v>62</v>
      </c>
      <c r="G19" s="8" t="s">
        <v>63</v>
      </c>
      <c r="H19" s="8" t="s">
        <v>3</v>
      </c>
      <c r="I19" s="8" t="s">
        <v>64</v>
      </c>
      <c r="J19" s="8">
        <v>100</v>
      </c>
      <c r="K19" s="9">
        <v>999502</v>
      </c>
      <c r="L19" s="9">
        <v>214000</v>
      </c>
      <c r="M19" s="6" t="s">
        <v>459</v>
      </c>
      <c r="N19" s="9">
        <v>0</v>
      </c>
    </row>
    <row r="20" spans="1:14" s="10" customFormat="1" ht="57" x14ac:dyDescent="0.2">
      <c r="A20" s="5">
        <v>19</v>
      </c>
      <c r="B20" s="5">
        <v>2026</v>
      </c>
      <c r="C20" s="6">
        <v>1</v>
      </c>
      <c r="D20" s="5">
        <v>4</v>
      </c>
      <c r="E20" s="7" t="s">
        <v>65</v>
      </c>
      <c r="F20" s="7" t="s">
        <v>66</v>
      </c>
      <c r="G20" s="8" t="s">
        <v>67</v>
      </c>
      <c r="H20" s="8" t="s">
        <v>3</v>
      </c>
      <c r="I20" s="8" t="s">
        <v>11</v>
      </c>
      <c r="J20" s="8">
        <v>175</v>
      </c>
      <c r="K20" s="9">
        <v>377572</v>
      </c>
      <c r="L20" s="9">
        <v>87400</v>
      </c>
      <c r="M20" s="6" t="s">
        <v>459</v>
      </c>
      <c r="N20" s="9">
        <v>0</v>
      </c>
    </row>
    <row r="21" spans="1:14" s="10" customFormat="1" ht="99.75" x14ac:dyDescent="0.2">
      <c r="A21" s="5">
        <v>20</v>
      </c>
      <c r="B21" s="5">
        <v>2026</v>
      </c>
      <c r="C21" s="6">
        <v>1</v>
      </c>
      <c r="D21" s="5">
        <v>4</v>
      </c>
      <c r="E21" s="7" t="s">
        <v>68</v>
      </c>
      <c r="F21" s="7" t="s">
        <v>69</v>
      </c>
      <c r="G21" s="8" t="s">
        <v>70</v>
      </c>
      <c r="H21" s="8" t="s">
        <v>3</v>
      </c>
      <c r="I21" s="8" t="s">
        <v>64</v>
      </c>
      <c r="J21" s="8">
        <v>90</v>
      </c>
      <c r="K21" s="9">
        <v>838901</v>
      </c>
      <c r="L21" s="9">
        <v>167764</v>
      </c>
      <c r="M21" s="6" t="s">
        <v>459</v>
      </c>
      <c r="N21" s="9">
        <v>0</v>
      </c>
    </row>
    <row r="22" spans="1:14" s="10" customFormat="1" ht="114" x14ac:dyDescent="0.2">
      <c r="A22" s="5">
        <v>21</v>
      </c>
      <c r="B22" s="5">
        <v>2026</v>
      </c>
      <c r="C22" s="6">
        <v>1</v>
      </c>
      <c r="D22" s="5">
        <v>4</v>
      </c>
      <c r="E22" s="7" t="s">
        <v>71</v>
      </c>
      <c r="F22" s="7" t="s">
        <v>72</v>
      </c>
      <c r="G22" s="8" t="s">
        <v>73</v>
      </c>
      <c r="H22" s="8" t="s">
        <v>3</v>
      </c>
      <c r="I22" s="8" t="s">
        <v>74</v>
      </c>
      <c r="J22" s="8">
        <v>240</v>
      </c>
      <c r="K22" s="9">
        <v>966070</v>
      </c>
      <c r="L22" s="9">
        <v>292001</v>
      </c>
      <c r="M22" s="6" t="s">
        <v>459</v>
      </c>
      <c r="N22" s="9">
        <v>0</v>
      </c>
    </row>
    <row r="23" spans="1:14" s="10" customFormat="1" ht="85.5" x14ac:dyDescent="0.2">
      <c r="A23" s="5">
        <v>22</v>
      </c>
      <c r="B23" s="5">
        <v>2026</v>
      </c>
      <c r="C23" s="6">
        <v>1</v>
      </c>
      <c r="D23" s="5">
        <v>4</v>
      </c>
      <c r="E23" s="7" t="s">
        <v>75</v>
      </c>
      <c r="F23" s="7" t="s">
        <v>76</v>
      </c>
      <c r="G23" s="8" t="s">
        <v>77</v>
      </c>
      <c r="H23" s="8" t="s">
        <v>3</v>
      </c>
      <c r="I23" s="8" t="s">
        <v>38</v>
      </c>
      <c r="J23" s="8">
        <v>120</v>
      </c>
      <c r="K23" s="9">
        <v>877358</v>
      </c>
      <c r="L23" s="9">
        <v>298300</v>
      </c>
      <c r="M23" s="6" t="s">
        <v>459</v>
      </c>
      <c r="N23" s="9">
        <v>0</v>
      </c>
    </row>
    <row r="24" spans="1:14" s="10" customFormat="1" ht="57" x14ac:dyDescent="0.2">
      <c r="A24" s="5">
        <v>23</v>
      </c>
      <c r="B24" s="5">
        <v>2026</v>
      </c>
      <c r="C24" s="6">
        <v>1</v>
      </c>
      <c r="D24" s="5">
        <v>4</v>
      </c>
      <c r="E24" s="7" t="s">
        <v>78</v>
      </c>
      <c r="F24" s="7" t="s">
        <v>79</v>
      </c>
      <c r="G24" s="8" t="s">
        <v>80</v>
      </c>
      <c r="H24" s="8" t="s">
        <v>3</v>
      </c>
      <c r="I24" s="8" t="s">
        <v>81</v>
      </c>
      <c r="J24" s="8">
        <v>442</v>
      </c>
      <c r="K24" s="9">
        <v>901697</v>
      </c>
      <c r="L24" s="9">
        <v>454475</v>
      </c>
      <c r="M24" s="6" t="s">
        <v>459</v>
      </c>
      <c r="N24" s="9">
        <v>0</v>
      </c>
    </row>
    <row r="25" spans="1:14" s="10" customFormat="1" ht="85.5" x14ac:dyDescent="0.2">
      <c r="A25" s="5">
        <v>24</v>
      </c>
      <c r="B25" s="5">
        <v>2026</v>
      </c>
      <c r="C25" s="6">
        <v>1</v>
      </c>
      <c r="D25" s="5">
        <v>4</v>
      </c>
      <c r="E25" s="7" t="s">
        <v>82</v>
      </c>
      <c r="F25" s="7" t="s">
        <v>83</v>
      </c>
      <c r="G25" s="8" t="s">
        <v>84</v>
      </c>
      <c r="H25" s="8" t="s">
        <v>3</v>
      </c>
      <c r="I25" s="8" t="s">
        <v>85</v>
      </c>
      <c r="J25" s="8">
        <v>250</v>
      </c>
      <c r="K25" s="9">
        <v>356037</v>
      </c>
      <c r="L25" s="9">
        <v>662200</v>
      </c>
      <c r="M25" s="6" t="s">
        <v>459</v>
      </c>
      <c r="N25" s="9">
        <v>0</v>
      </c>
    </row>
    <row r="26" spans="1:14" s="10" customFormat="1" ht="57" x14ac:dyDescent="0.2">
      <c r="A26" s="5">
        <v>25</v>
      </c>
      <c r="B26" s="5">
        <v>2026</v>
      </c>
      <c r="C26" s="6">
        <v>1</v>
      </c>
      <c r="D26" s="5">
        <v>4</v>
      </c>
      <c r="E26" s="7" t="s">
        <v>86</v>
      </c>
      <c r="F26" s="7" t="s">
        <v>87</v>
      </c>
      <c r="G26" s="8" t="s">
        <v>88</v>
      </c>
      <c r="H26" s="8" t="s">
        <v>3</v>
      </c>
      <c r="I26" s="8" t="s">
        <v>23</v>
      </c>
      <c r="J26" s="8">
        <v>180</v>
      </c>
      <c r="K26" s="9">
        <v>883083</v>
      </c>
      <c r="L26" s="9">
        <v>276765</v>
      </c>
      <c r="M26" s="6" t="s">
        <v>459</v>
      </c>
      <c r="N26" s="9">
        <v>0</v>
      </c>
    </row>
    <row r="27" spans="1:14" s="10" customFormat="1" ht="71.25" x14ac:dyDescent="0.2">
      <c r="A27" s="5">
        <v>26</v>
      </c>
      <c r="B27" s="5">
        <v>2026</v>
      </c>
      <c r="C27" s="6">
        <v>1</v>
      </c>
      <c r="D27" s="5">
        <v>4</v>
      </c>
      <c r="E27" s="7" t="s">
        <v>89</v>
      </c>
      <c r="F27" s="7" t="s">
        <v>90</v>
      </c>
      <c r="G27" s="8" t="s">
        <v>91</v>
      </c>
      <c r="H27" s="8" t="s">
        <v>3</v>
      </c>
      <c r="I27" s="8" t="s">
        <v>74</v>
      </c>
      <c r="J27" s="8">
        <v>150</v>
      </c>
      <c r="K27" s="9">
        <v>296346</v>
      </c>
      <c r="L27" s="9">
        <v>72250</v>
      </c>
      <c r="M27" s="6" t="s">
        <v>459</v>
      </c>
      <c r="N27" s="9">
        <v>0</v>
      </c>
    </row>
    <row r="28" spans="1:14" s="10" customFormat="1" ht="42.75" x14ac:dyDescent="0.2">
      <c r="A28" s="5">
        <v>27</v>
      </c>
      <c r="B28" s="5">
        <v>2026</v>
      </c>
      <c r="C28" s="6">
        <v>1</v>
      </c>
      <c r="D28" s="5">
        <v>4</v>
      </c>
      <c r="E28" s="7" t="s">
        <v>92</v>
      </c>
      <c r="F28" s="7" t="s">
        <v>93</v>
      </c>
      <c r="G28" s="8" t="s">
        <v>94</v>
      </c>
      <c r="H28" s="8" t="s">
        <v>37</v>
      </c>
      <c r="I28" s="8" t="s">
        <v>95</v>
      </c>
      <c r="J28" s="8">
        <v>200</v>
      </c>
      <c r="K28" s="9">
        <v>969465</v>
      </c>
      <c r="L28" s="9">
        <v>199150</v>
      </c>
      <c r="M28" s="6" t="s">
        <v>459</v>
      </c>
      <c r="N28" s="9">
        <v>0</v>
      </c>
    </row>
    <row r="29" spans="1:14" s="10" customFormat="1" ht="85.5" x14ac:dyDescent="0.2">
      <c r="A29" s="5">
        <v>28</v>
      </c>
      <c r="B29" s="5">
        <v>2026</v>
      </c>
      <c r="C29" s="6">
        <v>1</v>
      </c>
      <c r="D29" s="5">
        <v>4</v>
      </c>
      <c r="E29" s="7" t="s">
        <v>96</v>
      </c>
      <c r="F29" s="7" t="s">
        <v>93</v>
      </c>
      <c r="G29" s="8" t="s">
        <v>97</v>
      </c>
      <c r="H29" s="8" t="s">
        <v>37</v>
      </c>
      <c r="I29" s="8" t="s">
        <v>95</v>
      </c>
      <c r="J29" s="8">
        <v>240</v>
      </c>
      <c r="K29" s="9">
        <v>997925</v>
      </c>
      <c r="L29" s="9">
        <v>179480</v>
      </c>
      <c r="M29" s="6" t="s">
        <v>459</v>
      </c>
      <c r="N29" s="9">
        <v>0</v>
      </c>
    </row>
    <row r="30" spans="1:14" s="10" customFormat="1" ht="78" customHeight="1" x14ac:dyDescent="0.2">
      <c r="A30" s="5">
        <v>29</v>
      </c>
      <c r="B30" s="5">
        <v>2026</v>
      </c>
      <c r="C30" s="6">
        <v>1</v>
      </c>
      <c r="D30" s="5">
        <v>4</v>
      </c>
      <c r="E30" s="7" t="s">
        <v>98</v>
      </c>
      <c r="F30" s="7" t="s">
        <v>99</v>
      </c>
      <c r="G30" s="8" t="s">
        <v>100</v>
      </c>
      <c r="H30" s="8" t="s">
        <v>37</v>
      </c>
      <c r="I30" s="8" t="s">
        <v>38</v>
      </c>
      <c r="J30" s="8">
        <v>540</v>
      </c>
      <c r="K30" s="9">
        <v>975227</v>
      </c>
      <c r="L30" s="9">
        <v>215420</v>
      </c>
      <c r="M30" s="6" t="s">
        <v>459</v>
      </c>
      <c r="N30" s="9">
        <v>0</v>
      </c>
    </row>
    <row r="31" spans="1:14" s="10" customFormat="1" ht="57" x14ac:dyDescent="0.2">
      <c r="A31" s="5">
        <v>30</v>
      </c>
      <c r="B31" s="5">
        <v>2026</v>
      </c>
      <c r="C31" s="6">
        <v>1</v>
      </c>
      <c r="D31" s="5">
        <v>4</v>
      </c>
      <c r="E31" s="7" t="s">
        <v>101</v>
      </c>
      <c r="F31" s="7" t="s">
        <v>102</v>
      </c>
      <c r="G31" s="8" t="s">
        <v>103</v>
      </c>
      <c r="H31" s="8" t="s">
        <v>37</v>
      </c>
      <c r="I31" s="8" t="s">
        <v>104</v>
      </c>
      <c r="J31" s="8">
        <v>44</v>
      </c>
      <c r="K31" s="9">
        <v>633303</v>
      </c>
      <c r="L31" s="9">
        <v>190640</v>
      </c>
      <c r="M31" s="6" t="s">
        <v>459</v>
      </c>
      <c r="N31" s="9">
        <v>0</v>
      </c>
    </row>
    <row r="32" spans="1:14" s="10" customFormat="1" ht="42.75" x14ac:dyDescent="0.2">
      <c r="A32" s="5">
        <v>31</v>
      </c>
      <c r="B32" s="5">
        <v>2026</v>
      </c>
      <c r="C32" s="6">
        <v>1</v>
      </c>
      <c r="D32" s="5">
        <v>4</v>
      </c>
      <c r="E32" s="7" t="s">
        <v>105</v>
      </c>
      <c r="F32" s="7" t="s">
        <v>106</v>
      </c>
      <c r="G32" s="8" t="s">
        <v>107</v>
      </c>
      <c r="H32" s="8" t="s">
        <v>3</v>
      </c>
      <c r="I32" s="8" t="s">
        <v>42</v>
      </c>
      <c r="J32" s="8">
        <v>160</v>
      </c>
      <c r="K32" s="9">
        <v>882963</v>
      </c>
      <c r="L32" s="9">
        <v>729225</v>
      </c>
      <c r="M32" s="6" t="s">
        <v>459</v>
      </c>
      <c r="N32" s="9">
        <v>0</v>
      </c>
    </row>
    <row r="33" spans="1:14" s="10" customFormat="1" ht="57" x14ac:dyDescent="0.2">
      <c r="A33" s="5">
        <v>32</v>
      </c>
      <c r="B33" s="5">
        <v>2026</v>
      </c>
      <c r="C33" s="6">
        <v>1</v>
      </c>
      <c r="D33" s="5">
        <v>4</v>
      </c>
      <c r="E33" s="7" t="s">
        <v>108</v>
      </c>
      <c r="F33" s="7" t="s">
        <v>109</v>
      </c>
      <c r="G33" s="8" t="s">
        <v>110</v>
      </c>
      <c r="H33" s="8" t="s">
        <v>3</v>
      </c>
      <c r="I33" s="8" t="s">
        <v>111</v>
      </c>
      <c r="J33" s="8">
        <v>250</v>
      </c>
      <c r="K33" s="9">
        <v>795380</v>
      </c>
      <c r="L33" s="9">
        <v>169750</v>
      </c>
      <c r="M33" s="6" t="s">
        <v>459</v>
      </c>
      <c r="N33" s="9">
        <v>0</v>
      </c>
    </row>
    <row r="34" spans="1:14" s="10" customFormat="1" ht="85.5" x14ac:dyDescent="0.2">
      <c r="A34" s="5">
        <v>33</v>
      </c>
      <c r="B34" s="5">
        <v>2026</v>
      </c>
      <c r="C34" s="6">
        <v>1</v>
      </c>
      <c r="D34" s="5">
        <v>4</v>
      </c>
      <c r="E34" s="7" t="s">
        <v>112</v>
      </c>
      <c r="F34" s="7" t="s">
        <v>109</v>
      </c>
      <c r="G34" s="8" t="s">
        <v>113</v>
      </c>
      <c r="H34" s="8" t="s">
        <v>3</v>
      </c>
      <c r="I34" s="8" t="s">
        <v>114</v>
      </c>
      <c r="J34" s="8">
        <v>170</v>
      </c>
      <c r="K34" s="9">
        <v>790061</v>
      </c>
      <c r="L34" s="9">
        <v>154358</v>
      </c>
      <c r="M34" s="6" t="s">
        <v>459</v>
      </c>
      <c r="N34" s="9">
        <v>0</v>
      </c>
    </row>
    <row r="35" spans="1:14" s="10" customFormat="1" ht="26.45" customHeight="1" x14ac:dyDescent="0.2">
      <c r="A35" s="5">
        <v>34</v>
      </c>
      <c r="B35" s="5">
        <v>2026</v>
      </c>
      <c r="C35" s="6">
        <v>1</v>
      </c>
      <c r="D35" s="5">
        <v>4</v>
      </c>
      <c r="E35" s="7" t="s">
        <v>115</v>
      </c>
      <c r="F35" s="7" t="s">
        <v>116</v>
      </c>
      <c r="G35" s="8" t="s">
        <v>117</v>
      </c>
      <c r="H35" s="8" t="s">
        <v>3</v>
      </c>
      <c r="I35" s="8" t="s">
        <v>23</v>
      </c>
      <c r="J35" s="8">
        <v>352</v>
      </c>
      <c r="K35" s="9">
        <v>954903</v>
      </c>
      <c r="L35" s="9">
        <v>436180</v>
      </c>
      <c r="M35" s="6" t="s">
        <v>459</v>
      </c>
      <c r="N35" s="9">
        <v>0</v>
      </c>
    </row>
    <row r="36" spans="1:14" s="10" customFormat="1" ht="71.25" x14ac:dyDescent="0.2">
      <c r="A36" s="5">
        <v>35</v>
      </c>
      <c r="B36" s="5">
        <v>2026</v>
      </c>
      <c r="C36" s="6">
        <v>1</v>
      </c>
      <c r="D36" s="5">
        <v>4</v>
      </c>
      <c r="E36" s="7" t="s">
        <v>118</v>
      </c>
      <c r="F36" s="7" t="s">
        <v>119</v>
      </c>
      <c r="G36" s="8" t="s">
        <v>120</v>
      </c>
      <c r="H36" s="8" t="s">
        <v>3</v>
      </c>
      <c r="I36" s="8" t="s">
        <v>23</v>
      </c>
      <c r="J36" s="8">
        <v>224</v>
      </c>
      <c r="K36" s="9">
        <v>974333</v>
      </c>
      <c r="L36" s="9">
        <v>237102</v>
      </c>
      <c r="M36" s="6" t="s">
        <v>459</v>
      </c>
      <c r="N36" s="9">
        <v>0</v>
      </c>
    </row>
    <row r="37" spans="1:14" s="10" customFormat="1" ht="71.25" x14ac:dyDescent="0.2">
      <c r="A37" s="5">
        <v>36</v>
      </c>
      <c r="B37" s="5">
        <v>2026</v>
      </c>
      <c r="C37" s="6">
        <v>1</v>
      </c>
      <c r="D37" s="5">
        <v>4</v>
      </c>
      <c r="E37" s="7" t="s">
        <v>121</v>
      </c>
      <c r="F37" s="7" t="s">
        <v>122</v>
      </c>
      <c r="G37" s="8" t="s">
        <v>123</v>
      </c>
      <c r="H37" s="8" t="s">
        <v>3</v>
      </c>
      <c r="I37" s="8" t="s">
        <v>15</v>
      </c>
      <c r="J37" s="8">
        <v>520</v>
      </c>
      <c r="K37" s="9">
        <v>950829</v>
      </c>
      <c r="L37" s="9">
        <v>422820</v>
      </c>
      <c r="M37" s="6" t="s">
        <v>459</v>
      </c>
      <c r="N37" s="9">
        <v>0</v>
      </c>
    </row>
    <row r="38" spans="1:14" s="10" customFormat="1" ht="71.25" x14ac:dyDescent="0.2">
      <c r="A38" s="5">
        <v>37</v>
      </c>
      <c r="B38" s="5">
        <v>2026</v>
      </c>
      <c r="C38" s="6">
        <v>1</v>
      </c>
      <c r="D38" s="5">
        <v>4</v>
      </c>
      <c r="E38" s="7" t="s">
        <v>124</v>
      </c>
      <c r="F38" s="7" t="s">
        <v>125</v>
      </c>
      <c r="G38" s="8" t="s">
        <v>126</v>
      </c>
      <c r="H38" s="8" t="s">
        <v>3</v>
      </c>
      <c r="I38" s="8" t="s">
        <v>15</v>
      </c>
      <c r="J38" s="5">
        <v>62</v>
      </c>
      <c r="K38" s="9">
        <v>313338</v>
      </c>
      <c r="L38" s="9">
        <v>63000</v>
      </c>
      <c r="M38" s="6" t="s">
        <v>459</v>
      </c>
      <c r="N38" s="9">
        <v>0</v>
      </c>
    </row>
    <row r="39" spans="1:14" s="10" customFormat="1" ht="92.45" customHeight="1" x14ac:dyDescent="0.2">
      <c r="A39" s="5">
        <v>38</v>
      </c>
      <c r="B39" s="5">
        <v>2026</v>
      </c>
      <c r="C39" s="6">
        <v>3</v>
      </c>
      <c r="D39" s="5">
        <v>5</v>
      </c>
      <c r="E39" s="7" t="s">
        <v>127</v>
      </c>
      <c r="F39" s="7" t="s">
        <v>128</v>
      </c>
      <c r="G39" s="8" t="s">
        <v>129</v>
      </c>
      <c r="H39" s="8" t="s">
        <v>37</v>
      </c>
      <c r="I39" s="8" t="s">
        <v>130</v>
      </c>
      <c r="J39" s="5">
        <v>135</v>
      </c>
      <c r="K39" s="9">
        <v>697840.81</v>
      </c>
      <c r="L39" s="9">
        <v>215741.8</v>
      </c>
      <c r="M39" s="6" t="s">
        <v>459</v>
      </c>
      <c r="N39" s="9">
        <v>0</v>
      </c>
    </row>
    <row r="40" spans="1:14" s="10" customFormat="1" ht="57" x14ac:dyDescent="0.2">
      <c r="A40" s="5">
        <v>39</v>
      </c>
      <c r="B40" s="5">
        <v>2026</v>
      </c>
      <c r="C40" s="6">
        <v>3</v>
      </c>
      <c r="D40" s="5">
        <v>5</v>
      </c>
      <c r="E40" s="7" t="s">
        <v>131</v>
      </c>
      <c r="F40" s="7" t="s">
        <v>132</v>
      </c>
      <c r="G40" s="8" t="s">
        <v>133</v>
      </c>
      <c r="H40" s="8" t="s">
        <v>37</v>
      </c>
      <c r="I40" s="8" t="s">
        <v>74</v>
      </c>
      <c r="J40" s="5">
        <v>105</v>
      </c>
      <c r="K40" s="9">
        <v>272661.01</v>
      </c>
      <c r="L40" s="9">
        <v>29420</v>
      </c>
      <c r="M40" s="6" t="s">
        <v>459</v>
      </c>
      <c r="N40" s="9">
        <v>0</v>
      </c>
    </row>
    <row r="41" spans="1:14" s="10" customFormat="1" ht="28.5" x14ac:dyDescent="0.2">
      <c r="A41" s="5">
        <v>40</v>
      </c>
      <c r="B41" s="5">
        <v>2026</v>
      </c>
      <c r="C41" s="6">
        <v>3</v>
      </c>
      <c r="D41" s="5">
        <v>5</v>
      </c>
      <c r="E41" s="7" t="s">
        <v>135</v>
      </c>
      <c r="F41" s="7" t="s">
        <v>136</v>
      </c>
      <c r="G41" s="8" t="s">
        <v>137</v>
      </c>
      <c r="H41" s="8" t="s">
        <v>37</v>
      </c>
      <c r="I41" s="8" t="s">
        <v>19</v>
      </c>
      <c r="J41" s="5">
        <v>142</v>
      </c>
      <c r="K41" s="9">
        <v>614790.84</v>
      </c>
      <c r="L41" s="9">
        <v>262434.08</v>
      </c>
      <c r="M41" s="6" t="s">
        <v>459</v>
      </c>
      <c r="N41" s="9">
        <v>0</v>
      </c>
    </row>
    <row r="42" spans="1:14" s="10" customFormat="1" ht="57" x14ac:dyDescent="0.2">
      <c r="A42" s="5">
        <v>41</v>
      </c>
      <c r="B42" s="5">
        <v>2026</v>
      </c>
      <c r="C42" s="6">
        <v>3</v>
      </c>
      <c r="D42" s="5">
        <v>5</v>
      </c>
      <c r="E42" s="7" t="s">
        <v>138</v>
      </c>
      <c r="F42" s="7" t="s">
        <v>139</v>
      </c>
      <c r="G42" s="8" t="s">
        <v>140</v>
      </c>
      <c r="H42" s="8" t="s">
        <v>37</v>
      </c>
      <c r="I42" s="8" t="s">
        <v>85</v>
      </c>
      <c r="J42" s="5">
        <v>140</v>
      </c>
      <c r="K42" s="9">
        <v>622462.13</v>
      </c>
      <c r="L42" s="9">
        <v>224548</v>
      </c>
      <c r="M42" s="6" t="s">
        <v>459</v>
      </c>
      <c r="N42" s="9">
        <v>0</v>
      </c>
    </row>
    <row r="43" spans="1:14" s="10" customFormat="1" ht="71.25" x14ac:dyDescent="0.2">
      <c r="A43" s="5">
        <v>42</v>
      </c>
      <c r="B43" s="5">
        <v>2026</v>
      </c>
      <c r="C43" s="6">
        <v>3</v>
      </c>
      <c r="D43" s="5">
        <v>5</v>
      </c>
      <c r="E43" s="7" t="s">
        <v>141</v>
      </c>
      <c r="F43" s="7" t="s">
        <v>142</v>
      </c>
      <c r="G43" s="8" t="s">
        <v>143</v>
      </c>
      <c r="H43" s="8" t="s">
        <v>37</v>
      </c>
      <c r="I43" s="8" t="s">
        <v>104</v>
      </c>
      <c r="J43" s="5">
        <v>126</v>
      </c>
      <c r="K43" s="9">
        <v>688108.87</v>
      </c>
      <c r="L43" s="9">
        <v>74292</v>
      </c>
      <c r="M43" s="6" t="s">
        <v>459</v>
      </c>
      <c r="N43" s="9">
        <v>0</v>
      </c>
    </row>
    <row r="44" spans="1:14" s="10" customFormat="1" ht="28.5" x14ac:dyDescent="0.2">
      <c r="A44" s="5">
        <v>43</v>
      </c>
      <c r="B44" s="5">
        <v>2026</v>
      </c>
      <c r="C44" s="6">
        <v>3</v>
      </c>
      <c r="D44" s="5">
        <v>5</v>
      </c>
      <c r="E44" s="7" t="s">
        <v>144</v>
      </c>
      <c r="F44" s="7" t="s">
        <v>145</v>
      </c>
      <c r="G44" s="8"/>
      <c r="H44" s="8" t="s">
        <v>37</v>
      </c>
      <c r="I44" s="8" t="s">
        <v>81</v>
      </c>
      <c r="J44" s="5">
        <v>130</v>
      </c>
      <c r="K44" s="9">
        <v>655958.96</v>
      </c>
      <c r="L44" s="9">
        <v>199186</v>
      </c>
      <c r="M44" s="6" t="s">
        <v>459</v>
      </c>
      <c r="N44" s="9">
        <v>0</v>
      </c>
    </row>
    <row r="45" spans="1:14" s="10" customFormat="1" ht="14.25" x14ac:dyDescent="0.2">
      <c r="A45" s="5">
        <v>44</v>
      </c>
      <c r="B45" s="5">
        <v>2026</v>
      </c>
      <c r="C45" s="6">
        <v>3</v>
      </c>
      <c r="D45" s="5">
        <v>5</v>
      </c>
      <c r="E45" s="7" t="s">
        <v>146</v>
      </c>
      <c r="F45" s="7" t="s">
        <v>147</v>
      </c>
      <c r="G45" s="8" t="s">
        <v>148</v>
      </c>
      <c r="H45" s="8" t="s">
        <v>37</v>
      </c>
      <c r="I45" s="8" t="s">
        <v>111</v>
      </c>
      <c r="J45" s="5">
        <v>96</v>
      </c>
      <c r="K45" s="9">
        <v>456371.84</v>
      </c>
      <c r="L45" s="9">
        <v>72894</v>
      </c>
      <c r="M45" s="6" t="s">
        <v>459</v>
      </c>
      <c r="N45" s="9">
        <v>0</v>
      </c>
    </row>
    <row r="46" spans="1:14" s="10" customFormat="1" ht="28.5" x14ac:dyDescent="0.2">
      <c r="A46" s="5">
        <v>45</v>
      </c>
      <c r="B46" s="5">
        <v>2026</v>
      </c>
      <c r="C46" s="6">
        <v>3</v>
      </c>
      <c r="D46" s="5">
        <v>5</v>
      </c>
      <c r="E46" s="7" t="s">
        <v>149</v>
      </c>
      <c r="F46" s="7" t="s">
        <v>150</v>
      </c>
      <c r="G46" s="8"/>
      <c r="H46" s="8" t="s">
        <v>37</v>
      </c>
      <c r="I46" s="8" t="s">
        <v>151</v>
      </c>
      <c r="J46" s="5">
        <v>160</v>
      </c>
      <c r="K46" s="9">
        <v>612277.72</v>
      </c>
      <c r="L46" s="9">
        <v>313272</v>
      </c>
      <c r="M46" s="6" t="s">
        <v>459</v>
      </c>
      <c r="N46" s="9">
        <v>0</v>
      </c>
    </row>
    <row r="47" spans="1:14" s="10" customFormat="1" ht="28.5" x14ac:dyDescent="0.2">
      <c r="A47" s="5">
        <v>46</v>
      </c>
      <c r="B47" s="5">
        <v>2026</v>
      </c>
      <c r="C47" s="6">
        <v>3</v>
      </c>
      <c r="D47" s="5">
        <v>5</v>
      </c>
      <c r="E47" s="7" t="s">
        <v>152</v>
      </c>
      <c r="F47" s="7" t="s">
        <v>153</v>
      </c>
      <c r="G47" s="8" t="s">
        <v>154</v>
      </c>
      <c r="H47" s="8" t="s">
        <v>37</v>
      </c>
      <c r="I47" s="8" t="s">
        <v>104</v>
      </c>
      <c r="J47" s="5">
        <v>152</v>
      </c>
      <c r="K47" s="9">
        <v>635427.35</v>
      </c>
      <c r="L47" s="9">
        <v>154470</v>
      </c>
      <c r="M47" s="6" t="s">
        <v>459</v>
      </c>
      <c r="N47" s="9">
        <v>0</v>
      </c>
    </row>
    <row r="48" spans="1:14" s="10" customFormat="1" ht="28.5" x14ac:dyDescent="0.2">
      <c r="A48" s="5">
        <v>47</v>
      </c>
      <c r="B48" s="5">
        <v>2026</v>
      </c>
      <c r="C48" s="6">
        <v>3</v>
      </c>
      <c r="D48" s="5">
        <v>5</v>
      </c>
      <c r="E48" s="7" t="s">
        <v>155</v>
      </c>
      <c r="F48" s="7" t="s">
        <v>156</v>
      </c>
      <c r="G48" s="8" t="s">
        <v>157</v>
      </c>
      <c r="H48" s="8" t="s">
        <v>37</v>
      </c>
      <c r="I48" s="8" t="s">
        <v>151</v>
      </c>
      <c r="J48" s="5">
        <v>179</v>
      </c>
      <c r="K48" s="9">
        <v>696267.33</v>
      </c>
      <c r="L48" s="9">
        <v>330541</v>
      </c>
      <c r="M48" s="6" t="s">
        <v>459</v>
      </c>
      <c r="N48" s="9">
        <v>0</v>
      </c>
    </row>
    <row r="49" spans="1:14" s="10" customFormat="1" ht="28.5" x14ac:dyDescent="0.2">
      <c r="A49" s="5">
        <v>48</v>
      </c>
      <c r="B49" s="5">
        <v>2026</v>
      </c>
      <c r="C49" s="6">
        <v>3</v>
      </c>
      <c r="D49" s="5">
        <v>5</v>
      </c>
      <c r="E49" s="7" t="s">
        <v>158</v>
      </c>
      <c r="F49" s="7" t="s">
        <v>159</v>
      </c>
      <c r="G49" s="8" t="s">
        <v>160</v>
      </c>
      <c r="H49" s="8" t="s">
        <v>37</v>
      </c>
      <c r="I49" s="8" t="s">
        <v>4</v>
      </c>
      <c r="J49" s="5">
        <v>125</v>
      </c>
      <c r="K49" s="9">
        <v>610658.18000000005</v>
      </c>
      <c r="L49" s="9">
        <v>201959.5</v>
      </c>
      <c r="M49" s="6" t="s">
        <v>459</v>
      </c>
      <c r="N49" s="9">
        <v>0</v>
      </c>
    </row>
    <row r="50" spans="1:14" s="10" customFormat="1" ht="83.45" customHeight="1" x14ac:dyDescent="0.2">
      <c r="A50" s="5">
        <v>49</v>
      </c>
      <c r="B50" s="5">
        <v>2026</v>
      </c>
      <c r="C50" s="6">
        <v>3</v>
      </c>
      <c r="D50" s="5">
        <v>5</v>
      </c>
      <c r="E50" s="11" t="s">
        <v>161</v>
      </c>
      <c r="F50" s="11" t="s">
        <v>162</v>
      </c>
      <c r="G50" s="6" t="s">
        <v>163</v>
      </c>
      <c r="H50" s="8" t="s">
        <v>37</v>
      </c>
      <c r="I50" s="6" t="s">
        <v>23</v>
      </c>
      <c r="J50" s="5">
        <v>70</v>
      </c>
      <c r="K50" s="9">
        <v>586267.11</v>
      </c>
      <c r="L50" s="9">
        <v>55000</v>
      </c>
      <c r="M50" s="6" t="s">
        <v>459</v>
      </c>
      <c r="N50" s="9">
        <v>0</v>
      </c>
    </row>
    <row r="51" spans="1:14" s="10" customFormat="1" ht="57" x14ac:dyDescent="0.2">
      <c r="A51" s="5">
        <v>50</v>
      </c>
      <c r="B51" s="5">
        <v>2026</v>
      </c>
      <c r="C51" s="6">
        <v>3</v>
      </c>
      <c r="D51" s="5">
        <v>5</v>
      </c>
      <c r="E51" s="11" t="s">
        <v>164</v>
      </c>
      <c r="F51" s="11" t="s">
        <v>165</v>
      </c>
      <c r="G51" s="6" t="s">
        <v>166</v>
      </c>
      <c r="H51" s="8" t="s">
        <v>37</v>
      </c>
      <c r="I51" s="6" t="s">
        <v>130</v>
      </c>
      <c r="J51" s="5">
        <v>122</v>
      </c>
      <c r="K51" s="9">
        <v>691654.57</v>
      </c>
      <c r="L51" s="9">
        <v>193762</v>
      </c>
      <c r="M51" s="6" t="s">
        <v>459</v>
      </c>
      <c r="N51" s="9">
        <v>0</v>
      </c>
    </row>
    <row r="52" spans="1:14" s="10" customFormat="1" ht="71.25" x14ac:dyDescent="0.2">
      <c r="A52" s="5">
        <v>51</v>
      </c>
      <c r="B52" s="5">
        <v>2026</v>
      </c>
      <c r="C52" s="6">
        <v>3</v>
      </c>
      <c r="D52" s="5">
        <v>5</v>
      </c>
      <c r="E52" s="11" t="s">
        <v>167</v>
      </c>
      <c r="F52" s="11" t="s">
        <v>168</v>
      </c>
      <c r="G52" s="6" t="s">
        <v>169</v>
      </c>
      <c r="H52" s="8" t="s">
        <v>37</v>
      </c>
      <c r="I52" s="6" t="s">
        <v>130</v>
      </c>
      <c r="J52" s="5">
        <v>138</v>
      </c>
      <c r="K52" s="9">
        <v>694923.75</v>
      </c>
      <c r="L52" s="9">
        <v>187330</v>
      </c>
      <c r="M52" s="6" t="s">
        <v>459</v>
      </c>
      <c r="N52" s="9">
        <v>0</v>
      </c>
    </row>
    <row r="53" spans="1:14" s="10" customFormat="1" ht="57" x14ac:dyDescent="0.2">
      <c r="A53" s="5">
        <v>52</v>
      </c>
      <c r="B53" s="5">
        <v>2026</v>
      </c>
      <c r="C53" s="6">
        <v>3</v>
      </c>
      <c r="D53" s="5">
        <v>6</v>
      </c>
      <c r="E53" s="7" t="s">
        <v>170</v>
      </c>
      <c r="F53" s="7" t="s">
        <v>171</v>
      </c>
      <c r="G53" s="6" t="s">
        <v>172</v>
      </c>
      <c r="H53" s="8" t="s">
        <v>37</v>
      </c>
      <c r="I53" s="8" t="s">
        <v>85</v>
      </c>
      <c r="J53" s="5">
        <v>132</v>
      </c>
      <c r="K53" s="9">
        <v>221800.05</v>
      </c>
      <c r="L53" s="9">
        <v>224548</v>
      </c>
      <c r="M53" s="6" t="s">
        <v>459</v>
      </c>
      <c r="N53" s="9">
        <v>0</v>
      </c>
    </row>
    <row r="54" spans="1:14" s="10" customFormat="1" ht="28.5" x14ac:dyDescent="0.2">
      <c r="A54" s="5">
        <v>53</v>
      </c>
      <c r="B54" s="5">
        <v>2026</v>
      </c>
      <c r="C54" s="6">
        <v>3</v>
      </c>
      <c r="D54" s="5">
        <v>6</v>
      </c>
      <c r="E54" s="7" t="s">
        <v>173</v>
      </c>
      <c r="F54" s="7" t="s">
        <v>156</v>
      </c>
      <c r="G54" s="8" t="s">
        <v>174</v>
      </c>
      <c r="H54" s="8" t="s">
        <v>37</v>
      </c>
      <c r="I54" s="8" t="s">
        <v>151</v>
      </c>
      <c r="J54" s="5">
        <v>210</v>
      </c>
      <c r="K54" s="9">
        <v>293216.01</v>
      </c>
      <c r="L54" s="9">
        <v>30575</v>
      </c>
      <c r="M54" s="6" t="s">
        <v>459</v>
      </c>
      <c r="N54" s="9">
        <v>0</v>
      </c>
    </row>
    <row r="55" spans="1:14" s="10" customFormat="1" ht="14.25" x14ac:dyDescent="0.2">
      <c r="A55" s="5">
        <v>54</v>
      </c>
      <c r="B55" s="5">
        <v>2026</v>
      </c>
      <c r="C55" s="6">
        <v>3</v>
      </c>
      <c r="D55" s="5">
        <v>6</v>
      </c>
      <c r="E55" s="7" t="s">
        <v>175</v>
      </c>
      <c r="F55" s="7" t="s">
        <v>176</v>
      </c>
      <c r="G55" s="8" t="s">
        <v>177</v>
      </c>
      <c r="H55" s="8" t="s">
        <v>37</v>
      </c>
      <c r="I55" s="8" t="s">
        <v>4</v>
      </c>
      <c r="J55" s="5">
        <v>150</v>
      </c>
      <c r="K55" s="9">
        <v>239122.9</v>
      </c>
      <c r="L55" s="9">
        <v>23040</v>
      </c>
      <c r="M55" s="6" t="s">
        <v>459</v>
      </c>
      <c r="N55" s="9">
        <v>0</v>
      </c>
    </row>
    <row r="56" spans="1:14" s="10" customFormat="1" ht="42.75" x14ac:dyDescent="0.2">
      <c r="A56" s="5">
        <v>55</v>
      </c>
      <c r="B56" s="5">
        <v>2026</v>
      </c>
      <c r="C56" s="6">
        <v>3</v>
      </c>
      <c r="D56" s="5">
        <v>6</v>
      </c>
      <c r="E56" s="7" t="s">
        <v>178</v>
      </c>
      <c r="F56" s="7" t="s">
        <v>145</v>
      </c>
      <c r="G56" s="8" t="s">
        <v>179</v>
      </c>
      <c r="H56" s="8" t="s">
        <v>37</v>
      </c>
      <c r="I56" s="8" t="s">
        <v>81</v>
      </c>
      <c r="J56" s="5">
        <v>125</v>
      </c>
      <c r="K56" s="9">
        <v>202506.3</v>
      </c>
      <c r="L56" s="9">
        <v>18300</v>
      </c>
      <c r="M56" s="6" t="s">
        <v>459</v>
      </c>
      <c r="N56" s="9">
        <v>0</v>
      </c>
    </row>
    <row r="57" spans="1:14" s="10" customFormat="1" ht="71.25" x14ac:dyDescent="0.2">
      <c r="A57" s="5">
        <v>56</v>
      </c>
      <c r="B57" s="5">
        <v>2026</v>
      </c>
      <c r="C57" s="6">
        <v>3</v>
      </c>
      <c r="D57" s="5">
        <v>6</v>
      </c>
      <c r="E57" s="11" t="s">
        <v>180</v>
      </c>
      <c r="F57" s="11" t="s">
        <v>181</v>
      </c>
      <c r="G57" s="6" t="s">
        <v>182</v>
      </c>
      <c r="H57" s="6" t="s">
        <v>37</v>
      </c>
      <c r="I57" s="6" t="s">
        <v>130</v>
      </c>
      <c r="J57" s="5">
        <v>144</v>
      </c>
      <c r="K57" s="9">
        <v>238944.5</v>
      </c>
      <c r="L57" s="9">
        <v>39120</v>
      </c>
      <c r="M57" s="6" t="s">
        <v>459</v>
      </c>
      <c r="N57" s="9">
        <v>0</v>
      </c>
    </row>
    <row r="58" spans="1:14" ht="24.75" x14ac:dyDescent="0.25">
      <c r="A58" s="12">
        <v>57</v>
      </c>
      <c r="B58" s="12">
        <v>2024</v>
      </c>
      <c r="C58" s="6">
        <v>1</v>
      </c>
      <c r="D58" s="5">
        <v>1</v>
      </c>
      <c r="E58" s="14" t="s">
        <v>183</v>
      </c>
      <c r="F58" s="15" t="s">
        <v>312</v>
      </c>
      <c r="H58" s="12" t="s">
        <v>3</v>
      </c>
      <c r="I58" s="14" t="s">
        <v>425</v>
      </c>
      <c r="J58" s="17" t="s">
        <v>448</v>
      </c>
      <c r="K58" s="22" t="s">
        <v>449</v>
      </c>
      <c r="L58" s="22" t="s">
        <v>448</v>
      </c>
      <c r="M58" s="12" t="s">
        <v>462</v>
      </c>
      <c r="N58" s="22" t="s">
        <v>449</v>
      </c>
    </row>
    <row r="59" spans="1:14" ht="24.75" x14ac:dyDescent="0.25">
      <c r="A59" s="12">
        <v>50</v>
      </c>
      <c r="B59" s="12">
        <v>2024</v>
      </c>
      <c r="C59" s="6">
        <v>1</v>
      </c>
      <c r="D59" s="5">
        <v>1</v>
      </c>
      <c r="E59" s="14" t="s">
        <v>184</v>
      </c>
      <c r="F59" s="15" t="s">
        <v>313</v>
      </c>
      <c r="H59" s="12" t="s">
        <v>3</v>
      </c>
      <c r="I59" s="14" t="s">
        <v>426</v>
      </c>
      <c r="J59" s="18" t="s">
        <v>448</v>
      </c>
      <c r="K59" s="23" t="s">
        <v>449</v>
      </c>
      <c r="L59" s="23" t="s">
        <v>448</v>
      </c>
      <c r="M59" s="12" t="s">
        <v>462</v>
      </c>
      <c r="N59" s="23" t="s">
        <v>449</v>
      </c>
    </row>
    <row r="60" spans="1:14" ht="24.75" x14ac:dyDescent="0.25">
      <c r="A60" s="12">
        <v>60</v>
      </c>
      <c r="B60" s="12">
        <v>2024</v>
      </c>
      <c r="C60" s="6">
        <v>1</v>
      </c>
      <c r="D60" s="5">
        <v>1</v>
      </c>
      <c r="E60" s="14" t="s">
        <v>185</v>
      </c>
      <c r="F60" s="15" t="s">
        <v>313</v>
      </c>
      <c r="H60" s="12" t="s">
        <v>3</v>
      </c>
      <c r="I60" s="14" t="s">
        <v>426</v>
      </c>
      <c r="J60" s="19">
        <v>50</v>
      </c>
      <c r="K60" s="24">
        <v>580340.78</v>
      </c>
      <c r="L60" s="24">
        <f>SUM(J60:K60)</f>
        <v>580390.78</v>
      </c>
      <c r="M60" s="12" t="s">
        <v>462</v>
      </c>
      <c r="N60" s="24">
        <v>580340.78</v>
      </c>
    </row>
    <row r="61" spans="1:14" ht="16.5" x14ac:dyDescent="0.25">
      <c r="A61" s="12">
        <v>32</v>
      </c>
      <c r="B61" s="12">
        <v>2024</v>
      </c>
      <c r="C61" s="6">
        <v>1</v>
      </c>
      <c r="D61" s="5">
        <v>1</v>
      </c>
      <c r="E61" s="14" t="s">
        <v>186</v>
      </c>
      <c r="F61" s="15" t="s">
        <v>314</v>
      </c>
      <c r="H61" s="12" t="s">
        <v>3</v>
      </c>
      <c r="I61" s="14" t="s">
        <v>426</v>
      </c>
      <c r="J61" s="17" t="s">
        <v>448</v>
      </c>
      <c r="K61" s="22" t="s">
        <v>449</v>
      </c>
      <c r="L61" s="22" t="s">
        <v>448</v>
      </c>
      <c r="M61" s="12" t="s">
        <v>462</v>
      </c>
      <c r="N61" s="22" t="s">
        <v>449</v>
      </c>
    </row>
    <row r="62" spans="1:14" ht="24.75" x14ac:dyDescent="0.25">
      <c r="A62" s="12">
        <v>43</v>
      </c>
      <c r="B62" s="12">
        <v>2024</v>
      </c>
      <c r="C62" s="6">
        <v>1</v>
      </c>
      <c r="D62" s="5">
        <v>1</v>
      </c>
      <c r="E62" s="14" t="s">
        <v>187</v>
      </c>
      <c r="F62" s="15" t="s">
        <v>315</v>
      </c>
      <c r="H62" s="12" t="s">
        <v>3</v>
      </c>
      <c r="I62" s="14" t="s">
        <v>426</v>
      </c>
      <c r="J62" s="17" t="s">
        <v>448</v>
      </c>
      <c r="K62" s="22" t="s">
        <v>449</v>
      </c>
      <c r="L62" s="22" t="s">
        <v>448</v>
      </c>
      <c r="M62" s="12" t="s">
        <v>462</v>
      </c>
      <c r="N62" s="22">
        <v>0</v>
      </c>
    </row>
    <row r="63" spans="1:14" x14ac:dyDescent="0.25">
      <c r="A63" s="28">
        <v>62</v>
      </c>
      <c r="B63" s="28">
        <v>2024</v>
      </c>
      <c r="C63" s="6">
        <v>1</v>
      </c>
      <c r="D63" s="5">
        <v>1</v>
      </c>
      <c r="E63" s="29" t="s">
        <v>188</v>
      </c>
      <c r="F63" s="30" t="s">
        <v>316</v>
      </c>
      <c r="G63" s="31"/>
      <c r="H63" s="28" t="s">
        <v>3</v>
      </c>
      <c r="I63" s="29" t="s">
        <v>426</v>
      </c>
      <c r="J63" s="32">
        <v>140</v>
      </c>
      <c r="K63" s="33">
        <v>1000000</v>
      </c>
      <c r="L63" s="33">
        <f>SUM(J63:K63)</f>
        <v>1000140</v>
      </c>
      <c r="M63" s="28" t="s">
        <v>462</v>
      </c>
      <c r="N63" s="22">
        <v>0</v>
      </c>
    </row>
    <row r="64" spans="1:14" x14ac:dyDescent="0.25">
      <c r="A64" s="12">
        <v>1</v>
      </c>
      <c r="B64" s="12">
        <v>2024</v>
      </c>
      <c r="C64" s="6">
        <v>1</v>
      </c>
      <c r="D64" s="5">
        <v>1</v>
      </c>
      <c r="E64" s="14" t="s">
        <v>189</v>
      </c>
      <c r="F64" s="15" t="s">
        <v>317</v>
      </c>
      <c r="H64" s="12" t="s">
        <v>3</v>
      </c>
      <c r="I64" s="14" t="s">
        <v>427</v>
      </c>
      <c r="J64" s="17" t="s">
        <v>448</v>
      </c>
      <c r="K64" s="22" t="s">
        <v>449</v>
      </c>
      <c r="L64" s="22" t="s">
        <v>448</v>
      </c>
      <c r="M64" s="12" t="s">
        <v>462</v>
      </c>
      <c r="N64" s="22">
        <v>0</v>
      </c>
    </row>
    <row r="65" spans="1:14" ht="33" x14ac:dyDescent="0.25">
      <c r="A65" s="12">
        <v>34</v>
      </c>
      <c r="B65" s="12">
        <v>2024</v>
      </c>
      <c r="C65" s="6">
        <v>1</v>
      </c>
      <c r="D65" s="5">
        <v>1</v>
      </c>
      <c r="E65" s="14" t="s">
        <v>190</v>
      </c>
      <c r="F65" s="15" t="s">
        <v>318</v>
      </c>
      <c r="H65" s="12" t="s">
        <v>3</v>
      </c>
      <c r="I65" s="14" t="s">
        <v>428</v>
      </c>
      <c r="J65" s="19">
        <v>40</v>
      </c>
      <c r="K65" s="24">
        <v>90018.64</v>
      </c>
      <c r="L65" s="24">
        <f>SUM(J65:K65)</f>
        <v>90058.64</v>
      </c>
      <c r="M65" s="12" t="s">
        <v>462</v>
      </c>
      <c r="N65" s="22">
        <v>0</v>
      </c>
    </row>
    <row r="66" spans="1:14" ht="24.75" x14ac:dyDescent="0.25">
      <c r="A66" s="12">
        <v>69</v>
      </c>
      <c r="B66" s="12">
        <v>2024</v>
      </c>
      <c r="C66" s="6">
        <v>1</v>
      </c>
      <c r="D66" s="5">
        <v>3</v>
      </c>
      <c r="E66" s="14" t="s">
        <v>191</v>
      </c>
      <c r="F66" s="15" t="s">
        <v>319</v>
      </c>
      <c r="H66" s="12" t="s">
        <v>3</v>
      </c>
      <c r="I66" s="14" t="s">
        <v>429</v>
      </c>
      <c r="J66" s="17" t="s">
        <v>448</v>
      </c>
      <c r="K66" s="22" t="s">
        <v>448</v>
      </c>
      <c r="L66" s="22" t="s">
        <v>448</v>
      </c>
      <c r="M66" s="12" t="s">
        <v>462</v>
      </c>
      <c r="N66" s="22">
        <v>0</v>
      </c>
    </row>
    <row r="67" spans="1:14" ht="24.75" x14ac:dyDescent="0.25">
      <c r="A67" s="12">
        <v>39</v>
      </c>
      <c r="B67" s="12">
        <v>2024</v>
      </c>
      <c r="C67" s="6">
        <v>1</v>
      </c>
      <c r="D67" s="5">
        <v>3</v>
      </c>
      <c r="E67" s="14" t="s">
        <v>192</v>
      </c>
      <c r="F67" s="15" t="s">
        <v>320</v>
      </c>
      <c r="H67" s="12" t="s">
        <v>3</v>
      </c>
      <c r="I67" s="14" t="s">
        <v>430</v>
      </c>
      <c r="J67" s="20">
        <v>400</v>
      </c>
      <c r="K67" s="25">
        <v>999596.88</v>
      </c>
      <c r="L67" s="24">
        <f>SUM(J67:K67)</f>
        <v>999996.88</v>
      </c>
      <c r="M67" s="12" t="s">
        <v>462</v>
      </c>
      <c r="N67" s="22">
        <v>0</v>
      </c>
    </row>
    <row r="68" spans="1:14" ht="16.5" x14ac:dyDescent="0.25">
      <c r="A68" s="12">
        <v>52</v>
      </c>
      <c r="B68" s="12">
        <v>2024</v>
      </c>
      <c r="C68" s="6">
        <v>1</v>
      </c>
      <c r="D68" s="5">
        <v>3</v>
      </c>
      <c r="E68" s="14" t="s">
        <v>193</v>
      </c>
      <c r="F68" s="15" t="s">
        <v>321</v>
      </c>
      <c r="H68" s="12" t="s">
        <v>3</v>
      </c>
      <c r="I68" s="14" t="s">
        <v>431</v>
      </c>
      <c r="J68" s="17" t="s">
        <v>448</v>
      </c>
      <c r="K68" s="22" t="s">
        <v>449</v>
      </c>
      <c r="L68" s="22" t="s">
        <v>448</v>
      </c>
      <c r="M68" s="12" t="s">
        <v>462</v>
      </c>
      <c r="N68" s="22">
        <v>0</v>
      </c>
    </row>
    <row r="69" spans="1:14" ht="24.75" x14ac:dyDescent="0.25">
      <c r="A69" s="12">
        <v>68</v>
      </c>
      <c r="B69" s="12">
        <v>2024</v>
      </c>
      <c r="C69" s="6">
        <v>1</v>
      </c>
      <c r="D69" s="5">
        <v>3</v>
      </c>
      <c r="E69" s="14" t="s">
        <v>194</v>
      </c>
      <c r="F69" s="15" t="s">
        <v>322</v>
      </c>
      <c r="H69" s="12" t="s">
        <v>3</v>
      </c>
      <c r="I69" s="14" t="s">
        <v>432</v>
      </c>
      <c r="J69" s="19">
        <v>160</v>
      </c>
      <c r="K69" s="24">
        <v>999993.33</v>
      </c>
      <c r="L69" s="24">
        <f>SUM(J69:K69)</f>
        <v>1000153.33</v>
      </c>
      <c r="M69" s="12" t="s">
        <v>462</v>
      </c>
      <c r="N69" s="22">
        <v>0</v>
      </c>
    </row>
    <row r="70" spans="1:14" ht="33" x14ac:dyDescent="0.25">
      <c r="A70" s="12">
        <v>46</v>
      </c>
      <c r="B70" s="12">
        <v>2024</v>
      </c>
      <c r="C70" s="6">
        <v>1</v>
      </c>
      <c r="D70" s="5">
        <v>3</v>
      </c>
      <c r="E70" s="14" t="s">
        <v>195</v>
      </c>
      <c r="F70" s="15" t="s">
        <v>323</v>
      </c>
      <c r="H70" s="12" t="s">
        <v>3</v>
      </c>
      <c r="I70" s="14" t="s">
        <v>425</v>
      </c>
      <c r="J70" s="19">
        <v>200</v>
      </c>
      <c r="K70" s="24">
        <v>787135.3</v>
      </c>
      <c r="L70" s="24">
        <f>SUM(J70:K70)</f>
        <v>787335.3</v>
      </c>
      <c r="M70" s="12" t="s">
        <v>462</v>
      </c>
      <c r="N70" s="22">
        <v>0</v>
      </c>
    </row>
    <row r="71" spans="1:14" ht="24.75" x14ac:dyDescent="0.25">
      <c r="A71" s="12">
        <v>56</v>
      </c>
      <c r="B71" s="12">
        <v>2024</v>
      </c>
      <c r="C71" s="6">
        <v>1</v>
      </c>
      <c r="D71" s="5">
        <v>3</v>
      </c>
      <c r="E71" s="14" t="s">
        <v>24</v>
      </c>
      <c r="F71" s="15" t="s">
        <v>324</v>
      </c>
      <c r="H71" s="12" t="s">
        <v>3</v>
      </c>
      <c r="I71" s="14" t="s">
        <v>433</v>
      </c>
      <c r="J71" s="19">
        <v>60</v>
      </c>
      <c r="K71" s="24">
        <v>480806.25</v>
      </c>
      <c r="L71" s="24">
        <f>SUM(J71:K71)</f>
        <v>480866.25</v>
      </c>
      <c r="M71" s="12" t="s">
        <v>462</v>
      </c>
      <c r="N71" s="22">
        <v>0</v>
      </c>
    </row>
    <row r="72" spans="1:14" ht="41.25" x14ac:dyDescent="0.25">
      <c r="A72" s="12">
        <v>10</v>
      </c>
      <c r="B72" s="12">
        <v>2024</v>
      </c>
      <c r="C72" s="6">
        <v>1</v>
      </c>
      <c r="D72" s="5">
        <v>3</v>
      </c>
      <c r="E72" s="14" t="s">
        <v>196</v>
      </c>
      <c r="F72" s="15" t="s">
        <v>325</v>
      </c>
      <c r="H72" s="12" t="s">
        <v>3</v>
      </c>
      <c r="I72" s="14" t="s">
        <v>432</v>
      </c>
      <c r="J72" s="19">
        <v>180</v>
      </c>
      <c r="K72" s="24">
        <v>991720.79</v>
      </c>
      <c r="L72" s="24">
        <f>SUM(J72:K72)</f>
        <v>991900.79</v>
      </c>
      <c r="M72" s="12" t="s">
        <v>462</v>
      </c>
      <c r="N72" s="22">
        <v>0</v>
      </c>
    </row>
    <row r="73" spans="1:14" ht="33" x14ac:dyDescent="0.25">
      <c r="A73" s="12">
        <v>42</v>
      </c>
      <c r="B73" s="12">
        <v>2024</v>
      </c>
      <c r="C73" s="6">
        <v>1</v>
      </c>
      <c r="D73" s="5">
        <v>3</v>
      </c>
      <c r="E73" s="14" t="s">
        <v>197</v>
      </c>
      <c r="F73" s="15" t="s">
        <v>315</v>
      </c>
      <c r="H73" s="12" t="s">
        <v>3</v>
      </c>
      <c r="I73" s="14" t="s">
        <v>426</v>
      </c>
      <c r="J73" s="17" t="s">
        <v>448</v>
      </c>
      <c r="K73" s="22" t="s">
        <v>449</v>
      </c>
      <c r="L73" s="22" t="s">
        <v>448</v>
      </c>
      <c r="M73" s="12" t="s">
        <v>462</v>
      </c>
      <c r="N73" s="22">
        <v>0</v>
      </c>
    </row>
    <row r="74" spans="1:14" ht="24.75" x14ac:dyDescent="0.25">
      <c r="A74" s="12">
        <v>13</v>
      </c>
      <c r="B74" s="12">
        <v>2024</v>
      </c>
      <c r="C74" s="6">
        <v>1</v>
      </c>
      <c r="D74" s="5">
        <v>3</v>
      </c>
      <c r="E74" s="14" t="s">
        <v>198</v>
      </c>
      <c r="F74" s="15" t="s">
        <v>326</v>
      </c>
      <c r="H74" s="12" t="s">
        <v>3</v>
      </c>
      <c r="I74" s="14" t="s">
        <v>426</v>
      </c>
      <c r="J74" s="17" t="s">
        <v>448</v>
      </c>
      <c r="K74" s="22" t="s">
        <v>449</v>
      </c>
      <c r="L74" s="22" t="s">
        <v>448</v>
      </c>
      <c r="M74" s="12" t="s">
        <v>462</v>
      </c>
      <c r="N74" s="22">
        <v>0</v>
      </c>
    </row>
    <row r="75" spans="1:14" ht="33" x14ac:dyDescent="0.25">
      <c r="A75" s="12">
        <v>14</v>
      </c>
      <c r="B75" s="12">
        <v>2024</v>
      </c>
      <c r="C75" s="6">
        <v>1</v>
      </c>
      <c r="D75" s="5">
        <v>3</v>
      </c>
      <c r="E75" s="14" t="s">
        <v>199</v>
      </c>
      <c r="F75" s="15" t="s">
        <v>327</v>
      </c>
      <c r="H75" s="12" t="s">
        <v>3</v>
      </c>
      <c r="I75" s="14" t="s">
        <v>426</v>
      </c>
      <c r="J75" s="19">
        <v>50</v>
      </c>
      <c r="K75" s="24">
        <v>179300</v>
      </c>
      <c r="L75" s="24">
        <f>SUM(J75:K75)</f>
        <v>179350</v>
      </c>
      <c r="M75" s="12" t="s">
        <v>462</v>
      </c>
      <c r="N75" s="22">
        <v>0</v>
      </c>
    </row>
    <row r="76" spans="1:14" ht="33" x14ac:dyDescent="0.25">
      <c r="A76" s="12">
        <v>48</v>
      </c>
      <c r="B76" s="12">
        <v>2024</v>
      </c>
      <c r="C76" s="6">
        <v>1</v>
      </c>
      <c r="D76" s="5">
        <v>3</v>
      </c>
      <c r="E76" s="14" t="s">
        <v>31</v>
      </c>
      <c r="F76" s="15" t="s">
        <v>328</v>
      </c>
      <c r="H76" s="12" t="s">
        <v>3</v>
      </c>
      <c r="I76" s="14" t="s">
        <v>428</v>
      </c>
      <c r="J76" s="19">
        <v>70</v>
      </c>
      <c r="K76" s="24">
        <v>274971.26388500002</v>
      </c>
      <c r="L76" s="24">
        <f>SUM(J76:K76)</f>
        <v>275041.26388500002</v>
      </c>
      <c r="M76" s="12" t="s">
        <v>462</v>
      </c>
      <c r="N76" s="22">
        <v>0</v>
      </c>
    </row>
    <row r="77" spans="1:14" ht="33" x14ac:dyDescent="0.25">
      <c r="A77" s="12">
        <v>35</v>
      </c>
      <c r="B77" s="12">
        <v>2024</v>
      </c>
      <c r="C77" s="6">
        <v>1</v>
      </c>
      <c r="D77" s="5">
        <v>3</v>
      </c>
      <c r="E77" s="14" t="s">
        <v>200</v>
      </c>
      <c r="F77" s="15" t="s">
        <v>329</v>
      </c>
      <c r="H77" s="13" t="s">
        <v>423</v>
      </c>
      <c r="I77" s="14" t="s">
        <v>432</v>
      </c>
      <c r="J77" s="17" t="s">
        <v>448</v>
      </c>
      <c r="K77" s="22" t="s">
        <v>449</v>
      </c>
      <c r="L77" s="22" t="s">
        <v>448</v>
      </c>
      <c r="M77" s="12" t="s">
        <v>462</v>
      </c>
      <c r="N77" s="22">
        <v>0</v>
      </c>
    </row>
    <row r="78" spans="1:14" ht="33" x14ac:dyDescent="0.25">
      <c r="A78" s="12">
        <v>9</v>
      </c>
      <c r="B78" s="12">
        <v>2024</v>
      </c>
      <c r="C78" s="6">
        <v>1</v>
      </c>
      <c r="D78" s="5">
        <v>3</v>
      </c>
      <c r="E78" s="14" t="s">
        <v>201</v>
      </c>
      <c r="F78" s="15" t="s">
        <v>330</v>
      </c>
      <c r="H78" s="13" t="s">
        <v>423</v>
      </c>
      <c r="I78" s="14" t="s">
        <v>434</v>
      </c>
      <c r="J78" s="19">
        <v>100</v>
      </c>
      <c r="K78" s="24">
        <v>797372.4</v>
      </c>
      <c r="L78" s="24">
        <f>SUM(J78:K78)</f>
        <v>797472.4</v>
      </c>
      <c r="M78" s="12" t="s">
        <v>462</v>
      </c>
      <c r="N78" s="22">
        <v>0</v>
      </c>
    </row>
    <row r="79" spans="1:14" ht="24.75" x14ac:dyDescent="0.25">
      <c r="A79" s="12">
        <v>20</v>
      </c>
      <c r="B79" s="12">
        <v>2024</v>
      </c>
      <c r="C79" s="6">
        <v>1</v>
      </c>
      <c r="D79" s="5">
        <v>3</v>
      </c>
      <c r="E79" s="14" t="s">
        <v>202</v>
      </c>
      <c r="F79" s="15" t="s">
        <v>331</v>
      </c>
      <c r="H79" s="12" t="s">
        <v>3</v>
      </c>
      <c r="I79" s="14" t="s">
        <v>435</v>
      </c>
      <c r="J79" s="19">
        <v>180</v>
      </c>
      <c r="K79" s="24">
        <v>923946.98</v>
      </c>
      <c r="L79" s="24">
        <f>SUM(J79:K79)</f>
        <v>924126.98</v>
      </c>
      <c r="M79" s="12" t="s">
        <v>462</v>
      </c>
      <c r="N79" s="22">
        <v>0</v>
      </c>
    </row>
    <row r="80" spans="1:14" ht="33" x14ac:dyDescent="0.25">
      <c r="A80" s="12">
        <v>19</v>
      </c>
      <c r="B80" s="12">
        <v>2024</v>
      </c>
      <c r="C80" s="6">
        <v>1</v>
      </c>
      <c r="D80" s="5">
        <v>3</v>
      </c>
      <c r="E80" s="14" t="s">
        <v>203</v>
      </c>
      <c r="F80" s="15" t="s">
        <v>332</v>
      </c>
      <c r="H80" s="13" t="s">
        <v>423</v>
      </c>
      <c r="I80" s="14" t="s">
        <v>435</v>
      </c>
      <c r="J80" s="19">
        <v>180</v>
      </c>
      <c r="K80" s="24">
        <v>938854.2</v>
      </c>
      <c r="L80" s="24">
        <f>SUM(J80:K80)</f>
        <v>939034.2</v>
      </c>
      <c r="M80" s="12" t="s">
        <v>462</v>
      </c>
      <c r="N80" s="22">
        <v>0</v>
      </c>
    </row>
    <row r="81" spans="1:14" ht="33" x14ac:dyDescent="0.25">
      <c r="A81" s="12">
        <v>3</v>
      </c>
      <c r="B81" s="12">
        <v>2024</v>
      </c>
      <c r="C81" s="6">
        <v>1</v>
      </c>
      <c r="D81" s="5">
        <v>4</v>
      </c>
      <c r="E81" s="14" t="s">
        <v>204</v>
      </c>
      <c r="F81" s="15" t="s">
        <v>333</v>
      </c>
      <c r="H81" s="12" t="s">
        <v>3</v>
      </c>
      <c r="I81" s="14" t="s">
        <v>427</v>
      </c>
      <c r="J81" s="20">
        <v>500</v>
      </c>
      <c r="K81" s="25">
        <v>1000000</v>
      </c>
      <c r="L81" s="24">
        <f>SUM(J81:K81)</f>
        <v>1000500</v>
      </c>
      <c r="M81" s="12" t="s">
        <v>462</v>
      </c>
      <c r="N81" s="22">
        <v>0</v>
      </c>
    </row>
    <row r="82" spans="1:14" ht="24.75" x14ac:dyDescent="0.25">
      <c r="A82" s="12">
        <v>54</v>
      </c>
      <c r="B82" s="12">
        <v>2024</v>
      </c>
      <c r="C82" s="6">
        <v>1</v>
      </c>
      <c r="D82" s="5">
        <v>4</v>
      </c>
      <c r="E82" s="14" t="s">
        <v>205</v>
      </c>
      <c r="F82" s="15" t="s">
        <v>334</v>
      </c>
      <c r="H82" s="12" t="s">
        <v>3</v>
      </c>
      <c r="I82" s="14" t="s">
        <v>427</v>
      </c>
      <c r="J82" s="17" t="s">
        <v>448</v>
      </c>
      <c r="K82" s="22" t="s">
        <v>449</v>
      </c>
      <c r="L82" s="22" t="s">
        <v>448</v>
      </c>
      <c r="M82" s="12" t="s">
        <v>462</v>
      </c>
      <c r="N82" s="22">
        <v>0</v>
      </c>
    </row>
    <row r="83" spans="1:14" ht="24.75" x14ac:dyDescent="0.25">
      <c r="A83" s="12">
        <v>28</v>
      </c>
      <c r="B83" s="12">
        <v>2024</v>
      </c>
      <c r="C83" s="6">
        <v>1</v>
      </c>
      <c r="D83" s="5">
        <v>4</v>
      </c>
      <c r="E83" s="14" t="s">
        <v>206</v>
      </c>
      <c r="F83" s="15" t="s">
        <v>335</v>
      </c>
      <c r="H83" s="12" t="s">
        <v>3</v>
      </c>
      <c r="I83" s="14" t="s">
        <v>436</v>
      </c>
      <c r="J83" s="17" t="s">
        <v>448</v>
      </c>
      <c r="K83" s="22" t="s">
        <v>449</v>
      </c>
      <c r="L83" s="22" t="s">
        <v>448</v>
      </c>
      <c r="M83" s="12" t="s">
        <v>462</v>
      </c>
      <c r="N83" s="22">
        <v>0</v>
      </c>
    </row>
    <row r="84" spans="1:14" ht="33" x14ac:dyDescent="0.25">
      <c r="A84" s="12">
        <v>5</v>
      </c>
      <c r="B84" s="12">
        <v>2024</v>
      </c>
      <c r="C84" s="6">
        <v>1</v>
      </c>
      <c r="D84" s="5">
        <v>4</v>
      </c>
      <c r="E84" s="14" t="s">
        <v>207</v>
      </c>
      <c r="F84" s="15" t="s">
        <v>336</v>
      </c>
      <c r="H84" s="12" t="s">
        <v>3</v>
      </c>
      <c r="I84" s="14" t="s">
        <v>427</v>
      </c>
      <c r="J84" s="19">
        <v>50</v>
      </c>
      <c r="K84" s="26">
        <v>427290.005</v>
      </c>
      <c r="L84" s="24">
        <f>SUM(J84:K84)</f>
        <v>427340.005</v>
      </c>
      <c r="M84" s="12" t="s">
        <v>462</v>
      </c>
      <c r="N84" s="22">
        <v>0</v>
      </c>
    </row>
    <row r="85" spans="1:14" ht="33" x14ac:dyDescent="0.25">
      <c r="A85" s="12">
        <v>12</v>
      </c>
      <c r="B85" s="12">
        <v>2024</v>
      </c>
      <c r="C85" s="6">
        <v>1</v>
      </c>
      <c r="D85" s="5">
        <v>4</v>
      </c>
      <c r="E85" s="14" t="s">
        <v>208</v>
      </c>
      <c r="F85" s="15" t="s">
        <v>337</v>
      </c>
      <c r="H85" s="12" t="s">
        <v>3</v>
      </c>
      <c r="I85" s="14" t="s">
        <v>427</v>
      </c>
      <c r="J85" s="17" t="s">
        <v>448</v>
      </c>
      <c r="K85" s="22" t="s">
        <v>449</v>
      </c>
      <c r="L85" s="22" t="s">
        <v>448</v>
      </c>
      <c r="M85" s="12" t="s">
        <v>462</v>
      </c>
      <c r="N85" s="22">
        <v>0</v>
      </c>
    </row>
    <row r="86" spans="1:14" ht="24.75" x14ac:dyDescent="0.25">
      <c r="A86" s="12">
        <v>49</v>
      </c>
      <c r="B86" s="12">
        <v>2024</v>
      </c>
      <c r="C86" s="6">
        <v>1</v>
      </c>
      <c r="D86" s="5">
        <v>4</v>
      </c>
      <c r="E86" s="14" t="s">
        <v>209</v>
      </c>
      <c r="F86" s="15" t="s">
        <v>338</v>
      </c>
      <c r="H86" s="12" t="s">
        <v>3</v>
      </c>
      <c r="I86" s="14" t="s">
        <v>428</v>
      </c>
      <c r="J86" s="17" t="s">
        <v>448</v>
      </c>
      <c r="K86" s="22" t="s">
        <v>449</v>
      </c>
      <c r="L86" s="22" t="s">
        <v>448</v>
      </c>
      <c r="M86" s="12" t="s">
        <v>462</v>
      </c>
      <c r="N86" s="22">
        <v>0</v>
      </c>
    </row>
    <row r="87" spans="1:14" ht="24.75" x14ac:dyDescent="0.25">
      <c r="A87" s="12">
        <v>15</v>
      </c>
      <c r="B87" s="12">
        <v>2024</v>
      </c>
      <c r="C87" s="6">
        <v>1</v>
      </c>
      <c r="D87" s="5">
        <v>4</v>
      </c>
      <c r="E87" s="14" t="s">
        <v>210</v>
      </c>
      <c r="F87" s="15" t="s">
        <v>339</v>
      </c>
      <c r="H87" s="12" t="s">
        <v>3</v>
      </c>
      <c r="I87" s="14" t="s">
        <v>433</v>
      </c>
      <c r="J87" s="17" t="s">
        <v>448</v>
      </c>
      <c r="K87" s="22" t="s">
        <v>449</v>
      </c>
      <c r="L87" s="22" t="s">
        <v>448</v>
      </c>
      <c r="M87" s="12" t="s">
        <v>462</v>
      </c>
      <c r="N87" s="22">
        <v>0</v>
      </c>
    </row>
    <row r="88" spans="1:14" ht="24.75" x14ac:dyDescent="0.25">
      <c r="A88" s="12">
        <v>4</v>
      </c>
      <c r="B88" s="12">
        <v>2024</v>
      </c>
      <c r="C88" s="6">
        <v>1</v>
      </c>
      <c r="D88" s="5">
        <v>4</v>
      </c>
      <c r="E88" s="14" t="s">
        <v>211</v>
      </c>
      <c r="F88" s="15" t="s">
        <v>340</v>
      </c>
      <c r="H88" s="12" t="s">
        <v>3</v>
      </c>
      <c r="I88" s="14" t="s">
        <v>437</v>
      </c>
      <c r="J88" s="18" t="s">
        <v>448</v>
      </c>
      <c r="K88" s="23" t="s">
        <v>449</v>
      </c>
      <c r="L88" s="23" t="s">
        <v>448</v>
      </c>
      <c r="M88" s="12" t="s">
        <v>462</v>
      </c>
      <c r="N88" s="22">
        <v>0</v>
      </c>
    </row>
    <row r="89" spans="1:14" ht="24.75" x14ac:dyDescent="0.25">
      <c r="A89" s="12">
        <v>6</v>
      </c>
      <c r="B89" s="12">
        <v>2024</v>
      </c>
      <c r="C89" s="6">
        <v>1</v>
      </c>
      <c r="D89" s="5">
        <v>4</v>
      </c>
      <c r="E89" s="14" t="s">
        <v>212</v>
      </c>
      <c r="F89" s="15" t="s">
        <v>340</v>
      </c>
      <c r="H89" s="12" t="s">
        <v>3</v>
      </c>
      <c r="I89" s="14" t="s">
        <v>437</v>
      </c>
      <c r="J89" s="17" t="s">
        <v>448</v>
      </c>
      <c r="K89" s="22" t="s">
        <v>449</v>
      </c>
      <c r="L89" s="22" t="s">
        <v>448</v>
      </c>
      <c r="M89" s="12" t="s">
        <v>462</v>
      </c>
      <c r="N89" s="22">
        <v>0</v>
      </c>
    </row>
    <row r="90" spans="1:14" ht="33" x14ac:dyDescent="0.25">
      <c r="A90" s="12">
        <v>36</v>
      </c>
      <c r="B90" s="12">
        <v>2024</v>
      </c>
      <c r="C90" s="6">
        <v>1</v>
      </c>
      <c r="D90" s="5">
        <v>4</v>
      </c>
      <c r="E90" s="14" t="s">
        <v>213</v>
      </c>
      <c r="F90" s="15" t="s">
        <v>341</v>
      </c>
      <c r="H90" s="12" t="s">
        <v>3</v>
      </c>
      <c r="I90" s="14" t="s">
        <v>427</v>
      </c>
      <c r="J90" s="17" t="s">
        <v>448</v>
      </c>
      <c r="K90" s="22" t="s">
        <v>449</v>
      </c>
      <c r="L90" s="22" t="s">
        <v>448</v>
      </c>
      <c r="M90" s="12" t="s">
        <v>462</v>
      </c>
      <c r="N90" s="22">
        <v>0</v>
      </c>
    </row>
    <row r="91" spans="1:14" ht="24.75" x14ac:dyDescent="0.25">
      <c r="A91" s="12">
        <v>73</v>
      </c>
      <c r="B91" s="12">
        <v>2024</v>
      </c>
      <c r="C91" s="6">
        <v>1</v>
      </c>
      <c r="D91" s="5">
        <v>4</v>
      </c>
      <c r="E91" s="14" t="s">
        <v>214</v>
      </c>
      <c r="F91" s="15" t="s">
        <v>341</v>
      </c>
      <c r="H91" s="12" t="s">
        <v>3</v>
      </c>
      <c r="I91" s="14" t="s">
        <v>433</v>
      </c>
      <c r="J91" s="18" t="s">
        <v>448</v>
      </c>
      <c r="K91" s="23" t="s">
        <v>449</v>
      </c>
      <c r="L91" s="23" t="s">
        <v>448</v>
      </c>
      <c r="M91" s="12" t="s">
        <v>462</v>
      </c>
      <c r="N91" s="22">
        <v>0</v>
      </c>
    </row>
    <row r="92" spans="1:14" ht="24.75" x14ac:dyDescent="0.25">
      <c r="A92" s="12">
        <v>17</v>
      </c>
      <c r="B92" s="12">
        <v>2024</v>
      </c>
      <c r="C92" s="6">
        <v>1</v>
      </c>
      <c r="D92" s="5">
        <v>4</v>
      </c>
      <c r="E92" s="14" t="s">
        <v>215</v>
      </c>
      <c r="F92" s="15" t="s">
        <v>323</v>
      </c>
      <c r="H92" s="12" t="s">
        <v>3</v>
      </c>
      <c r="I92" s="14" t="s">
        <v>435</v>
      </c>
      <c r="J92" s="21">
        <v>350</v>
      </c>
      <c r="K92" s="26">
        <v>994568.84837210004</v>
      </c>
      <c r="L92" s="24">
        <f>SUM(J92:K92)</f>
        <v>994918.84837210004</v>
      </c>
      <c r="M92" s="12" t="s">
        <v>462</v>
      </c>
      <c r="N92" s="22">
        <v>0</v>
      </c>
    </row>
    <row r="93" spans="1:14" ht="33" x14ac:dyDescent="0.25">
      <c r="A93" s="12">
        <v>33</v>
      </c>
      <c r="B93" s="12">
        <v>2024</v>
      </c>
      <c r="C93" s="6">
        <v>1</v>
      </c>
      <c r="D93" s="5">
        <v>4</v>
      </c>
      <c r="E93" s="14" t="s">
        <v>55</v>
      </c>
      <c r="F93" s="15" t="s">
        <v>324</v>
      </c>
      <c r="H93" s="12" t="s">
        <v>3</v>
      </c>
      <c r="I93" s="14" t="s">
        <v>433</v>
      </c>
      <c r="J93" s="19">
        <v>100</v>
      </c>
      <c r="K93" s="26">
        <v>487227.99794999999</v>
      </c>
      <c r="L93" s="24">
        <f>SUM(J93:K93)</f>
        <v>487327.99794999999</v>
      </c>
      <c r="M93" s="12" t="s">
        <v>462</v>
      </c>
      <c r="N93" s="22">
        <v>0</v>
      </c>
    </row>
    <row r="94" spans="1:14" ht="24.75" x14ac:dyDescent="0.25">
      <c r="A94" s="12">
        <v>64</v>
      </c>
      <c r="B94" s="12">
        <v>2024</v>
      </c>
      <c r="C94" s="6">
        <v>1</v>
      </c>
      <c r="D94" s="5">
        <v>4</v>
      </c>
      <c r="E94" s="14" t="s">
        <v>216</v>
      </c>
      <c r="F94" s="15" t="s">
        <v>313</v>
      </c>
      <c r="H94" s="12" t="s">
        <v>3</v>
      </c>
      <c r="I94" s="14" t="s">
        <v>428</v>
      </c>
      <c r="J94" s="19">
        <v>300</v>
      </c>
      <c r="K94" s="24">
        <v>999502.72499999998</v>
      </c>
      <c r="L94" s="24">
        <f>SUM(J94:K94)</f>
        <v>999802.72499999998</v>
      </c>
      <c r="M94" s="12" t="s">
        <v>462</v>
      </c>
      <c r="N94" s="22">
        <v>0</v>
      </c>
    </row>
    <row r="95" spans="1:14" ht="24.75" x14ac:dyDescent="0.25">
      <c r="A95" s="12">
        <v>67</v>
      </c>
      <c r="B95" s="12">
        <v>2024</v>
      </c>
      <c r="C95" s="6">
        <v>1</v>
      </c>
      <c r="D95" s="5">
        <v>4</v>
      </c>
      <c r="E95" s="14" t="s">
        <v>217</v>
      </c>
      <c r="F95" s="15" t="s">
        <v>342</v>
      </c>
      <c r="H95" s="12" t="s">
        <v>3</v>
      </c>
      <c r="I95" s="14" t="s">
        <v>438</v>
      </c>
      <c r="J95" s="19">
        <v>100</v>
      </c>
      <c r="K95" s="24">
        <v>999901.78</v>
      </c>
      <c r="L95" s="24">
        <f>SUM(J95:K95)</f>
        <v>1000001.78</v>
      </c>
      <c r="M95" s="12" t="s">
        <v>462</v>
      </c>
      <c r="N95" s="22">
        <v>0</v>
      </c>
    </row>
    <row r="96" spans="1:14" ht="33" x14ac:dyDescent="0.25">
      <c r="A96" s="12">
        <v>44</v>
      </c>
      <c r="B96" s="12">
        <v>2024</v>
      </c>
      <c r="C96" s="6">
        <v>1</v>
      </c>
      <c r="D96" s="5">
        <v>4</v>
      </c>
      <c r="E96" s="14" t="s">
        <v>218</v>
      </c>
      <c r="F96" s="15" t="s">
        <v>315</v>
      </c>
      <c r="H96" s="12" t="s">
        <v>3</v>
      </c>
      <c r="I96" s="14" t="s">
        <v>439</v>
      </c>
      <c r="J96" s="17" t="s">
        <v>448</v>
      </c>
      <c r="K96" s="22" t="s">
        <v>449</v>
      </c>
      <c r="L96" s="22" t="s">
        <v>448</v>
      </c>
      <c r="M96" s="12" t="s">
        <v>462</v>
      </c>
      <c r="N96" s="22">
        <v>0</v>
      </c>
    </row>
    <row r="97" spans="1:14" ht="41.25" x14ac:dyDescent="0.25">
      <c r="A97" s="12">
        <v>25</v>
      </c>
      <c r="B97" s="12">
        <v>2024</v>
      </c>
      <c r="C97" s="6">
        <v>1</v>
      </c>
      <c r="D97" s="5">
        <v>4</v>
      </c>
      <c r="E97" s="14" t="s">
        <v>219</v>
      </c>
      <c r="F97" s="15" t="s">
        <v>343</v>
      </c>
      <c r="H97" s="12" t="s">
        <v>3</v>
      </c>
      <c r="I97" s="14" t="s">
        <v>432</v>
      </c>
      <c r="J97" s="17" t="s">
        <v>448</v>
      </c>
      <c r="K97" s="22" t="s">
        <v>449</v>
      </c>
      <c r="L97" s="22" t="s">
        <v>448</v>
      </c>
      <c r="M97" s="12" t="s">
        <v>462</v>
      </c>
      <c r="N97" s="22">
        <v>0</v>
      </c>
    </row>
    <row r="98" spans="1:14" ht="16.5" x14ac:dyDescent="0.25">
      <c r="A98" s="12">
        <v>27</v>
      </c>
      <c r="B98" s="12">
        <v>2024</v>
      </c>
      <c r="C98" s="6">
        <v>1</v>
      </c>
      <c r="D98" s="5">
        <v>4</v>
      </c>
      <c r="E98" s="14" t="s">
        <v>220</v>
      </c>
      <c r="F98" s="15" t="s">
        <v>344</v>
      </c>
      <c r="H98" s="12" t="s">
        <v>3</v>
      </c>
      <c r="I98" s="14" t="s">
        <v>435</v>
      </c>
      <c r="J98" s="17" t="s">
        <v>448</v>
      </c>
      <c r="K98" s="22" t="s">
        <v>449</v>
      </c>
      <c r="L98" s="22" t="s">
        <v>448</v>
      </c>
      <c r="M98" s="12" t="s">
        <v>462</v>
      </c>
      <c r="N98" s="22">
        <v>0</v>
      </c>
    </row>
    <row r="99" spans="1:14" ht="24.75" x14ac:dyDescent="0.25">
      <c r="A99" s="12">
        <v>37</v>
      </c>
      <c r="B99" s="12">
        <v>2024</v>
      </c>
      <c r="C99" s="6">
        <v>1</v>
      </c>
      <c r="D99" s="5">
        <v>4</v>
      </c>
      <c r="E99" s="14" t="s">
        <v>221</v>
      </c>
      <c r="F99" s="15" t="s">
        <v>345</v>
      </c>
      <c r="H99" s="12" t="s">
        <v>3</v>
      </c>
      <c r="I99" s="14" t="s">
        <v>428</v>
      </c>
      <c r="J99" s="19">
        <v>175</v>
      </c>
      <c r="K99" s="24">
        <v>419735.45</v>
      </c>
      <c r="L99" s="24">
        <f>SUM(J99:K99)</f>
        <v>419910.45</v>
      </c>
      <c r="M99" s="12" t="s">
        <v>462</v>
      </c>
      <c r="N99" s="22">
        <v>0</v>
      </c>
    </row>
    <row r="100" spans="1:14" ht="24.75" x14ac:dyDescent="0.25">
      <c r="A100" s="12">
        <v>72</v>
      </c>
      <c r="B100" s="12">
        <v>2024</v>
      </c>
      <c r="C100" s="6">
        <v>1</v>
      </c>
      <c r="D100" s="5">
        <v>4</v>
      </c>
      <c r="E100" s="14" t="s">
        <v>222</v>
      </c>
      <c r="F100" s="15" t="s">
        <v>346</v>
      </c>
      <c r="H100" s="12" t="s">
        <v>3</v>
      </c>
      <c r="I100" s="14" t="s">
        <v>425</v>
      </c>
      <c r="J100" s="18" t="s">
        <v>448</v>
      </c>
      <c r="K100" s="23" t="s">
        <v>449</v>
      </c>
      <c r="L100" s="23" t="s">
        <v>448</v>
      </c>
      <c r="M100" s="12" t="s">
        <v>462</v>
      </c>
      <c r="N100" s="22">
        <v>0</v>
      </c>
    </row>
    <row r="101" spans="1:14" ht="33" x14ac:dyDescent="0.25">
      <c r="A101" s="12">
        <v>40</v>
      </c>
      <c r="B101" s="12">
        <v>2024</v>
      </c>
      <c r="C101" s="6">
        <v>1</v>
      </c>
      <c r="D101" s="5">
        <v>4</v>
      </c>
      <c r="E101" s="14" t="s">
        <v>223</v>
      </c>
      <c r="F101" s="15" t="s">
        <v>347</v>
      </c>
      <c r="H101" s="12" t="s">
        <v>3</v>
      </c>
      <c r="I101" s="14" t="s">
        <v>438</v>
      </c>
      <c r="J101" s="19">
        <v>90</v>
      </c>
      <c r="K101" s="24">
        <v>858228.9</v>
      </c>
      <c r="L101" s="24">
        <f>SUM(J101:K101)</f>
        <v>858318.9</v>
      </c>
      <c r="M101" s="12" t="s">
        <v>462</v>
      </c>
      <c r="N101" s="22">
        <v>0</v>
      </c>
    </row>
    <row r="102" spans="1:14" ht="41.25" x14ac:dyDescent="0.25">
      <c r="A102" s="12">
        <v>55</v>
      </c>
      <c r="B102" s="12">
        <v>2024</v>
      </c>
      <c r="C102" s="6">
        <v>1</v>
      </c>
      <c r="D102" s="5">
        <v>4</v>
      </c>
      <c r="E102" s="14" t="s">
        <v>71</v>
      </c>
      <c r="F102" s="15" t="s">
        <v>348</v>
      </c>
      <c r="H102" s="12" t="s">
        <v>3</v>
      </c>
      <c r="I102" s="14" t="s">
        <v>440</v>
      </c>
      <c r="J102" s="19">
        <v>240</v>
      </c>
      <c r="K102" s="24">
        <v>999649.93</v>
      </c>
      <c r="L102" s="24">
        <f>SUM(J102:K102)</f>
        <v>999889.93</v>
      </c>
      <c r="M102" s="12" t="s">
        <v>462</v>
      </c>
      <c r="N102" s="22">
        <v>0</v>
      </c>
    </row>
    <row r="103" spans="1:14" ht="33" x14ac:dyDescent="0.25">
      <c r="A103" s="12">
        <v>53</v>
      </c>
      <c r="B103" s="12">
        <v>2024</v>
      </c>
      <c r="C103" s="6">
        <v>1</v>
      </c>
      <c r="D103" s="5">
        <v>4</v>
      </c>
      <c r="E103" s="14" t="s">
        <v>224</v>
      </c>
      <c r="F103" s="15" t="s">
        <v>349</v>
      </c>
      <c r="H103" s="12" t="s">
        <v>3</v>
      </c>
      <c r="I103" s="14" t="s">
        <v>434</v>
      </c>
      <c r="J103" s="19">
        <v>120</v>
      </c>
      <c r="K103" s="24">
        <v>877357.82</v>
      </c>
      <c r="L103" s="24">
        <f>SUM(J103:K103)</f>
        <v>877477.82</v>
      </c>
      <c r="M103" s="12" t="s">
        <v>462</v>
      </c>
      <c r="N103" s="22">
        <v>0</v>
      </c>
    </row>
    <row r="104" spans="1:14" ht="24.75" x14ac:dyDescent="0.25">
      <c r="A104" s="12">
        <v>71</v>
      </c>
      <c r="B104" s="12">
        <v>2024</v>
      </c>
      <c r="C104" s="6">
        <v>1</v>
      </c>
      <c r="D104" s="5">
        <v>4</v>
      </c>
      <c r="E104" s="14" t="s">
        <v>225</v>
      </c>
      <c r="F104" s="15" t="s">
        <v>350</v>
      </c>
      <c r="H104" s="12" t="s">
        <v>3</v>
      </c>
      <c r="I104" s="14" t="s">
        <v>427</v>
      </c>
      <c r="J104" s="18" t="s">
        <v>448</v>
      </c>
      <c r="K104" s="23" t="s">
        <v>449</v>
      </c>
      <c r="L104" s="23" t="s">
        <v>448</v>
      </c>
      <c r="M104" s="12" t="s">
        <v>462</v>
      </c>
      <c r="N104" s="22">
        <v>0</v>
      </c>
    </row>
    <row r="105" spans="1:14" ht="24.75" x14ac:dyDescent="0.25">
      <c r="A105" s="12">
        <v>29</v>
      </c>
      <c r="B105" s="12">
        <v>2024</v>
      </c>
      <c r="C105" s="6">
        <v>1</v>
      </c>
      <c r="D105" s="5">
        <v>4</v>
      </c>
      <c r="E105" s="14" t="s">
        <v>226</v>
      </c>
      <c r="F105" s="15" t="s">
        <v>351</v>
      </c>
      <c r="H105" s="12" t="s">
        <v>3</v>
      </c>
      <c r="I105" s="14" t="s">
        <v>441</v>
      </c>
      <c r="J105" s="19">
        <v>442</v>
      </c>
      <c r="K105" s="24">
        <v>901697</v>
      </c>
      <c r="L105" s="24">
        <f>SUM(J105:K105)</f>
        <v>902139</v>
      </c>
      <c r="M105" s="12" t="s">
        <v>462</v>
      </c>
      <c r="N105" s="22">
        <v>0</v>
      </c>
    </row>
    <row r="106" spans="1:14" ht="33" x14ac:dyDescent="0.25">
      <c r="A106" s="12">
        <v>58</v>
      </c>
      <c r="B106" s="12">
        <v>2024</v>
      </c>
      <c r="C106" s="6">
        <v>1</v>
      </c>
      <c r="D106" s="5">
        <v>4</v>
      </c>
      <c r="E106" s="14" t="s">
        <v>227</v>
      </c>
      <c r="F106" s="15" t="s">
        <v>352</v>
      </c>
      <c r="H106" s="12" t="s">
        <v>3</v>
      </c>
      <c r="I106" s="14" t="s">
        <v>442</v>
      </c>
      <c r="J106" s="19">
        <v>250</v>
      </c>
      <c r="K106" s="26">
        <v>357486.84</v>
      </c>
      <c r="L106" s="24">
        <f>SUM(J106:K106)</f>
        <v>357736.84</v>
      </c>
      <c r="M106" s="12" t="s">
        <v>462</v>
      </c>
      <c r="N106" s="22">
        <v>0</v>
      </c>
    </row>
    <row r="107" spans="1:14" ht="24.75" x14ac:dyDescent="0.25">
      <c r="A107" s="12">
        <v>59</v>
      </c>
      <c r="B107" s="12">
        <v>2024</v>
      </c>
      <c r="C107" s="6">
        <v>1</v>
      </c>
      <c r="D107" s="5">
        <v>4</v>
      </c>
      <c r="E107" s="14" t="s">
        <v>228</v>
      </c>
      <c r="F107" s="15" t="s">
        <v>353</v>
      </c>
      <c r="H107" s="12" t="s">
        <v>3</v>
      </c>
      <c r="I107" s="14" t="s">
        <v>425</v>
      </c>
      <c r="J107" s="19">
        <v>180</v>
      </c>
      <c r="K107" s="24">
        <v>914911.32</v>
      </c>
      <c r="L107" s="24">
        <f>SUM(J107:K107)</f>
        <v>915091.32</v>
      </c>
      <c r="M107" s="12" t="s">
        <v>462</v>
      </c>
      <c r="N107" s="22">
        <v>0</v>
      </c>
    </row>
    <row r="108" spans="1:14" ht="33" x14ac:dyDescent="0.25">
      <c r="A108" s="12">
        <v>51</v>
      </c>
      <c r="B108" s="12">
        <v>2024</v>
      </c>
      <c r="C108" s="6">
        <v>1</v>
      </c>
      <c r="D108" s="5">
        <v>4</v>
      </c>
      <c r="E108" s="14" t="s">
        <v>229</v>
      </c>
      <c r="F108" s="15" t="s">
        <v>354</v>
      </c>
      <c r="H108" s="12" t="s">
        <v>3</v>
      </c>
      <c r="I108" s="14" t="s">
        <v>440</v>
      </c>
      <c r="J108" s="19">
        <v>150</v>
      </c>
      <c r="K108" s="24">
        <v>296345.99</v>
      </c>
      <c r="L108" s="24">
        <f>SUM(J108:K108)</f>
        <v>296495.99</v>
      </c>
      <c r="M108" s="12" t="s">
        <v>462</v>
      </c>
      <c r="N108" s="22">
        <v>0</v>
      </c>
    </row>
    <row r="109" spans="1:14" ht="24.75" x14ac:dyDescent="0.25">
      <c r="A109" s="12">
        <v>63</v>
      </c>
      <c r="B109" s="12">
        <v>2024</v>
      </c>
      <c r="C109" s="6">
        <v>1</v>
      </c>
      <c r="D109" s="5">
        <v>4</v>
      </c>
      <c r="E109" s="14" t="s">
        <v>230</v>
      </c>
      <c r="F109" s="15" t="s">
        <v>355</v>
      </c>
      <c r="H109" s="12" t="s">
        <v>3</v>
      </c>
      <c r="I109" s="14" t="s">
        <v>443</v>
      </c>
      <c r="J109" s="17" t="s">
        <v>448</v>
      </c>
      <c r="K109" s="22" t="s">
        <v>449</v>
      </c>
      <c r="L109" s="22" t="s">
        <v>448</v>
      </c>
      <c r="M109" s="12" t="s">
        <v>462</v>
      </c>
      <c r="N109" s="22">
        <v>0</v>
      </c>
    </row>
    <row r="110" spans="1:14" ht="33" x14ac:dyDescent="0.25">
      <c r="A110" s="12">
        <v>38</v>
      </c>
      <c r="B110" s="12">
        <v>2024</v>
      </c>
      <c r="C110" s="6">
        <v>1</v>
      </c>
      <c r="D110" s="5">
        <v>4</v>
      </c>
      <c r="E110" s="14" t="s">
        <v>231</v>
      </c>
      <c r="F110" s="15" t="s">
        <v>356</v>
      </c>
      <c r="H110" s="13" t="s">
        <v>423</v>
      </c>
      <c r="I110" s="14" t="s">
        <v>444</v>
      </c>
      <c r="J110" s="19">
        <v>200</v>
      </c>
      <c r="K110" s="24">
        <v>999937.73</v>
      </c>
      <c r="L110" s="24">
        <f>SUM(J110:K110)</f>
        <v>1000137.73</v>
      </c>
      <c r="M110" s="12" t="s">
        <v>462</v>
      </c>
      <c r="N110" s="22">
        <v>0</v>
      </c>
    </row>
    <row r="111" spans="1:14" ht="33" x14ac:dyDescent="0.25">
      <c r="A111" s="12">
        <v>21</v>
      </c>
      <c r="B111" s="12">
        <v>2024</v>
      </c>
      <c r="C111" s="6">
        <v>1</v>
      </c>
      <c r="D111" s="5">
        <v>4</v>
      </c>
      <c r="E111" s="14" t="s">
        <v>96</v>
      </c>
      <c r="F111" s="15" t="s">
        <v>356</v>
      </c>
      <c r="H111" s="13" t="s">
        <v>423</v>
      </c>
      <c r="I111" s="14" t="s">
        <v>444</v>
      </c>
      <c r="J111" s="19">
        <v>240</v>
      </c>
      <c r="K111" s="24">
        <v>997925</v>
      </c>
      <c r="L111" s="24">
        <f>SUM(J111:K111)</f>
        <v>998165</v>
      </c>
      <c r="M111" s="12" t="s">
        <v>462</v>
      </c>
      <c r="N111" s="22">
        <v>0</v>
      </c>
    </row>
    <row r="112" spans="1:14" ht="33" x14ac:dyDescent="0.25">
      <c r="A112" s="12">
        <v>31</v>
      </c>
      <c r="B112" s="12">
        <v>2024</v>
      </c>
      <c r="C112" s="6">
        <v>1</v>
      </c>
      <c r="D112" s="5">
        <v>4</v>
      </c>
      <c r="E112" s="14" t="s">
        <v>232</v>
      </c>
      <c r="F112" s="15" t="s">
        <v>357</v>
      </c>
      <c r="H112" s="13" t="s">
        <v>423</v>
      </c>
      <c r="I112" s="14" t="s">
        <v>427</v>
      </c>
      <c r="J112" s="17" t="s">
        <v>448</v>
      </c>
      <c r="K112" s="22" t="s">
        <v>449</v>
      </c>
      <c r="L112" s="22" t="s">
        <v>448</v>
      </c>
      <c r="M112" s="12" t="s">
        <v>462</v>
      </c>
      <c r="N112" s="22">
        <v>0</v>
      </c>
    </row>
    <row r="113" spans="1:14" ht="33" x14ac:dyDescent="0.25">
      <c r="A113" s="12">
        <v>18</v>
      </c>
      <c r="B113" s="12">
        <v>2024</v>
      </c>
      <c r="C113" s="6">
        <v>1</v>
      </c>
      <c r="D113" s="5">
        <v>4</v>
      </c>
      <c r="E113" s="14" t="s">
        <v>233</v>
      </c>
      <c r="F113" s="15" t="s">
        <v>358</v>
      </c>
      <c r="H113" s="13" t="s">
        <v>423</v>
      </c>
      <c r="I113" s="14" t="s">
        <v>427</v>
      </c>
      <c r="J113" s="17" t="s">
        <v>448</v>
      </c>
      <c r="K113" s="22" t="s">
        <v>449</v>
      </c>
      <c r="L113" s="22" t="s">
        <v>448</v>
      </c>
      <c r="M113" s="12" t="s">
        <v>462</v>
      </c>
      <c r="N113" s="22">
        <v>0</v>
      </c>
    </row>
    <row r="114" spans="1:14" ht="33" x14ac:dyDescent="0.25">
      <c r="A114" s="12">
        <v>66</v>
      </c>
      <c r="B114" s="12">
        <v>2024</v>
      </c>
      <c r="C114" s="6">
        <v>1</v>
      </c>
      <c r="D114" s="5">
        <v>4</v>
      </c>
      <c r="E114" s="14" t="s">
        <v>234</v>
      </c>
      <c r="F114" s="15" t="s">
        <v>359</v>
      </c>
      <c r="H114" s="13" t="s">
        <v>423</v>
      </c>
      <c r="I114" s="14" t="s">
        <v>435</v>
      </c>
      <c r="J114" s="17" t="s">
        <v>448</v>
      </c>
      <c r="K114" s="22" t="s">
        <v>449</v>
      </c>
      <c r="L114" s="22" t="s">
        <v>448</v>
      </c>
      <c r="M114" s="12" t="s">
        <v>462</v>
      </c>
      <c r="N114" s="22">
        <v>0</v>
      </c>
    </row>
    <row r="115" spans="1:14" ht="41.25" x14ac:dyDescent="0.25">
      <c r="A115" s="12">
        <v>24</v>
      </c>
      <c r="B115" s="12">
        <v>2024</v>
      </c>
      <c r="C115" s="6">
        <v>1</v>
      </c>
      <c r="D115" s="5">
        <v>4</v>
      </c>
      <c r="E115" s="14" t="s">
        <v>235</v>
      </c>
      <c r="F115" s="15" t="s">
        <v>360</v>
      </c>
      <c r="H115" s="13" t="s">
        <v>423</v>
      </c>
      <c r="I115" s="14" t="s">
        <v>434</v>
      </c>
      <c r="J115" s="19">
        <v>540</v>
      </c>
      <c r="K115" s="26">
        <v>975226.70248749992</v>
      </c>
      <c r="L115" s="24">
        <f>SUM(J115:K115)</f>
        <v>975766.70248749992</v>
      </c>
      <c r="M115" s="12" t="s">
        <v>462</v>
      </c>
      <c r="N115" s="22">
        <v>0</v>
      </c>
    </row>
    <row r="116" spans="1:14" ht="33" x14ac:dyDescent="0.25">
      <c r="A116" s="12">
        <v>22</v>
      </c>
      <c r="B116" s="12">
        <v>2024</v>
      </c>
      <c r="C116" s="6">
        <v>1</v>
      </c>
      <c r="D116" s="5">
        <v>4</v>
      </c>
      <c r="E116" s="14" t="s">
        <v>236</v>
      </c>
      <c r="F116" s="15" t="s">
        <v>361</v>
      </c>
      <c r="H116" s="13" t="s">
        <v>423</v>
      </c>
      <c r="I116" s="14" t="s">
        <v>432</v>
      </c>
      <c r="J116" s="17" t="s">
        <v>448</v>
      </c>
      <c r="K116" s="22" t="s">
        <v>449</v>
      </c>
      <c r="L116" s="22" t="s">
        <v>448</v>
      </c>
      <c r="M116" s="12" t="s">
        <v>462</v>
      </c>
      <c r="N116" s="22">
        <v>0</v>
      </c>
    </row>
    <row r="117" spans="1:14" ht="33" x14ac:dyDescent="0.25">
      <c r="A117" s="12">
        <v>23</v>
      </c>
      <c r="B117" s="12">
        <v>2024</v>
      </c>
      <c r="C117" s="6">
        <v>1</v>
      </c>
      <c r="D117" s="5">
        <v>4</v>
      </c>
      <c r="E117" s="14" t="s">
        <v>237</v>
      </c>
      <c r="F117" s="15" t="s">
        <v>362</v>
      </c>
      <c r="H117" s="13" t="s">
        <v>423</v>
      </c>
      <c r="I117" s="14" t="s">
        <v>432</v>
      </c>
      <c r="J117" s="17" t="s">
        <v>448</v>
      </c>
      <c r="K117" s="22" t="s">
        <v>449</v>
      </c>
      <c r="L117" s="22" t="s">
        <v>448</v>
      </c>
      <c r="M117" s="12" t="s">
        <v>462</v>
      </c>
      <c r="N117" s="22">
        <v>0</v>
      </c>
    </row>
    <row r="118" spans="1:14" ht="33" x14ac:dyDescent="0.25">
      <c r="A118" s="12">
        <v>65</v>
      </c>
      <c r="B118" s="12">
        <v>2024</v>
      </c>
      <c r="C118" s="6">
        <v>1</v>
      </c>
      <c r="D118" s="5">
        <v>4</v>
      </c>
      <c r="E118" s="14" t="s">
        <v>238</v>
      </c>
      <c r="F118" s="15" t="s">
        <v>363</v>
      </c>
      <c r="H118" s="13" t="s">
        <v>423</v>
      </c>
      <c r="I118" s="14" t="s">
        <v>429</v>
      </c>
      <c r="J118" s="19">
        <v>44</v>
      </c>
      <c r="K118" s="24">
        <v>633309.32000000007</v>
      </c>
      <c r="L118" s="24">
        <f t="shared" ref="L118:L127" si="0">SUM(J118:K118)</f>
        <v>633353.32000000007</v>
      </c>
      <c r="M118" s="12" t="s">
        <v>462</v>
      </c>
      <c r="N118" s="22">
        <v>0</v>
      </c>
    </row>
    <row r="119" spans="1:14" ht="16.5" x14ac:dyDescent="0.25">
      <c r="A119" s="12">
        <v>7</v>
      </c>
      <c r="B119" s="12">
        <v>2024</v>
      </c>
      <c r="C119" s="6">
        <v>1</v>
      </c>
      <c r="D119" s="5">
        <v>4</v>
      </c>
      <c r="E119" s="14" t="s">
        <v>239</v>
      </c>
      <c r="F119" s="15" t="s">
        <v>331</v>
      </c>
      <c r="H119" s="12" t="s">
        <v>3</v>
      </c>
      <c r="I119" s="14" t="s">
        <v>435</v>
      </c>
      <c r="J119" s="19">
        <v>160</v>
      </c>
      <c r="K119" s="24">
        <v>882968.5</v>
      </c>
      <c r="L119" s="24">
        <f t="shared" si="0"/>
        <v>883128.5</v>
      </c>
      <c r="M119" s="12" t="s">
        <v>462</v>
      </c>
      <c r="N119" s="22">
        <v>0</v>
      </c>
    </row>
    <row r="120" spans="1:14" ht="24.75" x14ac:dyDescent="0.25">
      <c r="A120" s="12">
        <v>8</v>
      </c>
      <c r="B120" s="12">
        <v>2024</v>
      </c>
      <c r="C120" s="6">
        <v>1</v>
      </c>
      <c r="D120" s="5">
        <v>4</v>
      </c>
      <c r="E120" s="14" t="s">
        <v>240</v>
      </c>
      <c r="F120" s="16" t="s">
        <v>331</v>
      </c>
      <c r="H120" s="12" t="s">
        <v>3</v>
      </c>
      <c r="I120" s="14" t="s">
        <v>435</v>
      </c>
      <c r="J120" s="21">
        <v>160</v>
      </c>
      <c r="K120" s="26">
        <v>919725.59</v>
      </c>
      <c r="L120" s="24">
        <f t="shared" si="0"/>
        <v>919885.59</v>
      </c>
      <c r="M120" s="13" t="s">
        <v>462</v>
      </c>
      <c r="N120" s="22">
        <v>0</v>
      </c>
    </row>
    <row r="121" spans="1:14" ht="24.75" x14ac:dyDescent="0.25">
      <c r="A121" s="12">
        <v>30</v>
      </c>
      <c r="B121" s="12">
        <v>2024</v>
      </c>
      <c r="C121" s="6">
        <v>1</v>
      </c>
      <c r="D121" s="5">
        <v>4</v>
      </c>
      <c r="E121" s="14" t="s">
        <v>241</v>
      </c>
      <c r="F121" s="16" t="s">
        <v>364</v>
      </c>
      <c r="H121" s="12" t="s">
        <v>3</v>
      </c>
      <c r="I121" s="14" t="s">
        <v>440</v>
      </c>
      <c r="J121" s="21">
        <v>250</v>
      </c>
      <c r="K121" s="26">
        <v>784602.6</v>
      </c>
      <c r="L121" s="24">
        <f t="shared" si="0"/>
        <v>784852.6</v>
      </c>
      <c r="M121" s="13" t="s">
        <v>462</v>
      </c>
      <c r="N121" s="22">
        <v>0</v>
      </c>
    </row>
    <row r="122" spans="1:14" ht="24.75" x14ac:dyDescent="0.25">
      <c r="A122" s="12">
        <v>41</v>
      </c>
      <c r="B122" s="12">
        <v>2024</v>
      </c>
      <c r="C122" s="6">
        <v>1</v>
      </c>
      <c r="D122" s="5">
        <v>4</v>
      </c>
      <c r="E122" s="14" t="s">
        <v>242</v>
      </c>
      <c r="F122" s="15" t="s">
        <v>364</v>
      </c>
      <c r="H122" s="12" t="s">
        <v>3</v>
      </c>
      <c r="I122" s="14" t="s">
        <v>437</v>
      </c>
      <c r="J122" s="19">
        <v>250</v>
      </c>
      <c r="K122" s="26">
        <v>713345</v>
      </c>
      <c r="L122" s="24">
        <f t="shared" si="0"/>
        <v>713595</v>
      </c>
      <c r="M122" s="12" t="s">
        <v>462</v>
      </c>
      <c r="N122" s="22">
        <v>0</v>
      </c>
    </row>
    <row r="123" spans="1:14" ht="24.75" x14ac:dyDescent="0.25">
      <c r="A123" s="12">
        <v>61</v>
      </c>
      <c r="B123" s="12">
        <v>2024</v>
      </c>
      <c r="C123" s="6">
        <v>1</v>
      </c>
      <c r="D123" s="5">
        <v>4</v>
      </c>
      <c r="E123" s="14" t="s">
        <v>112</v>
      </c>
      <c r="F123" s="15" t="s">
        <v>364</v>
      </c>
      <c r="H123" s="12" t="s">
        <v>3</v>
      </c>
      <c r="I123" s="14" t="s">
        <v>445</v>
      </c>
      <c r="J123" s="19">
        <v>170</v>
      </c>
      <c r="K123" s="24">
        <v>790061.13</v>
      </c>
      <c r="L123" s="24">
        <f t="shared" si="0"/>
        <v>790231.13</v>
      </c>
      <c r="M123" s="12" t="s">
        <v>462</v>
      </c>
      <c r="N123" s="22">
        <v>0</v>
      </c>
    </row>
    <row r="124" spans="1:14" ht="16.5" x14ac:dyDescent="0.25">
      <c r="A124" s="12">
        <v>26</v>
      </c>
      <c r="B124" s="12">
        <v>2024</v>
      </c>
      <c r="C124" s="6">
        <v>1</v>
      </c>
      <c r="D124" s="5">
        <v>4</v>
      </c>
      <c r="E124" s="14" t="s">
        <v>243</v>
      </c>
      <c r="F124" s="15" t="s">
        <v>365</v>
      </c>
      <c r="H124" s="12" t="s">
        <v>3</v>
      </c>
      <c r="I124" s="14" t="s">
        <v>425</v>
      </c>
      <c r="J124" s="21">
        <v>352</v>
      </c>
      <c r="K124" s="26">
        <v>948491.47499999998</v>
      </c>
      <c r="L124" s="24">
        <f t="shared" si="0"/>
        <v>948843.47499999998</v>
      </c>
      <c r="M124" s="12" t="s">
        <v>462</v>
      </c>
      <c r="N124" s="22">
        <v>0</v>
      </c>
    </row>
    <row r="125" spans="1:14" ht="24.75" x14ac:dyDescent="0.25">
      <c r="A125" s="12">
        <v>16</v>
      </c>
      <c r="B125" s="12">
        <v>2024</v>
      </c>
      <c r="C125" s="6">
        <v>1</v>
      </c>
      <c r="D125" s="5">
        <v>4</v>
      </c>
      <c r="E125" s="14" t="s">
        <v>244</v>
      </c>
      <c r="F125" s="15" t="s">
        <v>366</v>
      </c>
      <c r="H125" s="12" t="s">
        <v>3</v>
      </c>
      <c r="I125" s="14" t="s">
        <v>425</v>
      </c>
      <c r="J125" s="19">
        <v>224</v>
      </c>
      <c r="K125" s="26">
        <v>925372.47</v>
      </c>
      <c r="L125" s="24">
        <f t="shared" si="0"/>
        <v>925596.47</v>
      </c>
      <c r="M125" s="12" t="s">
        <v>462</v>
      </c>
      <c r="N125" s="22">
        <v>0</v>
      </c>
    </row>
    <row r="126" spans="1:14" ht="24.75" x14ac:dyDescent="0.25">
      <c r="A126" s="12">
        <v>2</v>
      </c>
      <c r="B126" s="12">
        <v>2024</v>
      </c>
      <c r="C126" s="6">
        <v>1</v>
      </c>
      <c r="D126" s="5">
        <v>4</v>
      </c>
      <c r="E126" s="14" t="s">
        <v>245</v>
      </c>
      <c r="F126" s="15" t="s">
        <v>366</v>
      </c>
      <c r="H126" s="12" t="s">
        <v>3</v>
      </c>
      <c r="I126" s="14" t="s">
        <v>430</v>
      </c>
      <c r="J126" s="19">
        <v>520</v>
      </c>
      <c r="K126" s="24">
        <v>999452.82</v>
      </c>
      <c r="L126" s="24">
        <f t="shared" si="0"/>
        <v>999972.82</v>
      </c>
      <c r="M126" s="12" t="s">
        <v>462</v>
      </c>
      <c r="N126" s="22">
        <v>0</v>
      </c>
    </row>
    <row r="127" spans="1:14" ht="24.75" x14ac:dyDescent="0.25">
      <c r="A127" s="12">
        <v>47</v>
      </c>
      <c r="B127" s="12">
        <v>2024</v>
      </c>
      <c r="C127" s="6">
        <v>1</v>
      </c>
      <c r="D127" s="5">
        <v>4</v>
      </c>
      <c r="E127" s="14" t="s">
        <v>124</v>
      </c>
      <c r="F127" s="15" t="s">
        <v>367</v>
      </c>
      <c r="H127" s="12" t="s">
        <v>3</v>
      </c>
      <c r="I127" s="14" t="s">
        <v>430</v>
      </c>
      <c r="J127" s="19">
        <v>62</v>
      </c>
      <c r="K127" s="26">
        <v>313338.41499999998</v>
      </c>
      <c r="L127" s="24">
        <f t="shared" si="0"/>
        <v>313400.41499999998</v>
      </c>
      <c r="M127" s="12" t="s">
        <v>462</v>
      </c>
      <c r="N127" s="22">
        <v>0</v>
      </c>
    </row>
    <row r="128" spans="1:14" ht="33" x14ac:dyDescent="0.25">
      <c r="A128" s="12">
        <v>11</v>
      </c>
      <c r="B128" s="12">
        <v>2024</v>
      </c>
      <c r="C128" s="6">
        <v>1</v>
      </c>
      <c r="D128" s="5">
        <v>4</v>
      </c>
      <c r="E128" s="14" t="s">
        <v>246</v>
      </c>
      <c r="F128" s="15" t="s">
        <v>368</v>
      </c>
      <c r="H128" s="12" t="s">
        <v>3</v>
      </c>
      <c r="I128" s="14" t="s">
        <v>427</v>
      </c>
      <c r="J128" s="17" t="s">
        <v>448</v>
      </c>
      <c r="K128" s="22" t="s">
        <v>449</v>
      </c>
      <c r="L128" s="22" t="s">
        <v>448</v>
      </c>
      <c r="M128" s="12" t="s">
        <v>462</v>
      </c>
      <c r="N128" s="22">
        <v>0</v>
      </c>
    </row>
    <row r="129" spans="1:14" ht="24.75" x14ac:dyDescent="0.25">
      <c r="A129" s="12">
        <v>45</v>
      </c>
      <c r="B129" s="12">
        <v>2024</v>
      </c>
      <c r="C129" s="6">
        <v>1</v>
      </c>
      <c r="D129" s="5">
        <v>4</v>
      </c>
      <c r="E129" s="14" t="s">
        <v>247</v>
      </c>
      <c r="F129" s="15" t="s">
        <v>369</v>
      </c>
      <c r="H129" s="12" t="s">
        <v>3</v>
      </c>
      <c r="I129" s="14" t="s">
        <v>429</v>
      </c>
      <c r="J129" s="17" t="s">
        <v>448</v>
      </c>
      <c r="K129" s="22" t="s">
        <v>449</v>
      </c>
      <c r="L129" s="22" t="s">
        <v>448</v>
      </c>
      <c r="M129" s="12" t="s">
        <v>462</v>
      </c>
      <c r="N129" s="22">
        <v>0</v>
      </c>
    </row>
    <row r="130" spans="1:14" ht="33" x14ac:dyDescent="0.25">
      <c r="A130" s="12">
        <v>70</v>
      </c>
      <c r="B130" s="12">
        <v>2024</v>
      </c>
      <c r="C130" s="6">
        <v>1</v>
      </c>
      <c r="D130" s="5">
        <v>4</v>
      </c>
      <c r="E130" s="14" t="s">
        <v>248</v>
      </c>
      <c r="F130" s="15" t="s">
        <v>370</v>
      </c>
      <c r="H130" s="12" t="s">
        <v>3</v>
      </c>
      <c r="I130" s="14" t="s">
        <v>433</v>
      </c>
      <c r="J130" s="17" t="s">
        <v>448</v>
      </c>
      <c r="K130" s="22" t="s">
        <v>449</v>
      </c>
      <c r="L130" s="22" t="s">
        <v>448</v>
      </c>
      <c r="M130" s="12" t="s">
        <v>462</v>
      </c>
      <c r="N130" s="22">
        <v>0</v>
      </c>
    </row>
    <row r="131" spans="1:14" ht="41.25" x14ac:dyDescent="0.25">
      <c r="A131" s="12">
        <v>1</v>
      </c>
      <c r="B131" s="12">
        <v>2025</v>
      </c>
      <c r="C131" s="6">
        <v>1</v>
      </c>
      <c r="D131" s="5">
        <v>3</v>
      </c>
      <c r="E131" s="14" t="s">
        <v>249</v>
      </c>
      <c r="F131" s="15" t="s">
        <v>371</v>
      </c>
      <c r="H131" s="12" t="s">
        <v>3</v>
      </c>
      <c r="I131" s="14" t="s">
        <v>427</v>
      </c>
      <c r="J131" s="19">
        <v>304</v>
      </c>
      <c r="K131" s="27">
        <v>1000000</v>
      </c>
      <c r="L131" s="24">
        <v>428396</v>
      </c>
      <c r="M131" s="12" t="s">
        <v>458</v>
      </c>
      <c r="N131" s="27">
        <v>1000000</v>
      </c>
    </row>
    <row r="132" spans="1:14" ht="24.75" x14ac:dyDescent="0.25">
      <c r="A132" s="12">
        <v>2</v>
      </c>
      <c r="B132" s="12">
        <v>2025</v>
      </c>
      <c r="C132" s="6">
        <v>1</v>
      </c>
      <c r="D132" s="5">
        <v>3</v>
      </c>
      <c r="E132" s="14" t="s">
        <v>250</v>
      </c>
      <c r="F132" s="15" t="s">
        <v>372</v>
      </c>
      <c r="H132" s="12" t="s">
        <v>3</v>
      </c>
      <c r="I132" s="14" t="s">
        <v>427</v>
      </c>
      <c r="J132" s="19">
        <v>200</v>
      </c>
      <c r="K132" s="27">
        <v>1000000</v>
      </c>
      <c r="L132" s="24">
        <v>830738</v>
      </c>
      <c r="M132" s="12" t="s">
        <v>458</v>
      </c>
      <c r="N132" s="27">
        <v>1000000</v>
      </c>
    </row>
    <row r="133" spans="1:14" ht="24.75" x14ac:dyDescent="0.25">
      <c r="A133" s="12">
        <v>3</v>
      </c>
      <c r="B133" s="12">
        <v>2025</v>
      </c>
      <c r="C133" s="6">
        <v>1</v>
      </c>
      <c r="D133" s="5">
        <v>3</v>
      </c>
      <c r="E133" s="14" t="s">
        <v>251</v>
      </c>
      <c r="F133" s="15" t="s">
        <v>372</v>
      </c>
      <c r="H133" s="12" t="s">
        <v>3</v>
      </c>
      <c r="I133" s="14" t="s">
        <v>427</v>
      </c>
      <c r="J133" s="19">
        <v>100</v>
      </c>
      <c r="K133" s="27">
        <v>1000000</v>
      </c>
      <c r="L133" s="24">
        <v>725738</v>
      </c>
      <c r="M133" s="12" t="s">
        <v>458</v>
      </c>
      <c r="N133" s="27">
        <v>1000000</v>
      </c>
    </row>
    <row r="134" spans="1:14" ht="24.75" x14ac:dyDescent="0.25">
      <c r="A134" s="12">
        <v>4</v>
      </c>
      <c r="B134" s="12">
        <v>2025</v>
      </c>
      <c r="C134" s="6">
        <v>1</v>
      </c>
      <c r="D134" s="5">
        <v>3</v>
      </c>
      <c r="E134" s="14" t="s">
        <v>252</v>
      </c>
      <c r="F134" s="15" t="s">
        <v>373</v>
      </c>
      <c r="H134" s="12" t="s">
        <v>3</v>
      </c>
      <c r="I134" s="14" t="s">
        <v>434</v>
      </c>
      <c r="J134" s="19">
        <v>300</v>
      </c>
      <c r="K134" s="27">
        <v>999488.23</v>
      </c>
      <c r="L134" s="24">
        <v>204900</v>
      </c>
      <c r="M134" s="12" t="s">
        <v>458</v>
      </c>
      <c r="N134" s="27">
        <v>999488.23</v>
      </c>
    </row>
    <row r="135" spans="1:14" ht="24.75" x14ac:dyDescent="0.25">
      <c r="A135" s="12">
        <v>5</v>
      </c>
      <c r="B135" s="12">
        <v>2025</v>
      </c>
      <c r="C135" s="6">
        <v>1</v>
      </c>
      <c r="D135" s="5">
        <v>3</v>
      </c>
      <c r="E135" s="14" t="s">
        <v>253</v>
      </c>
      <c r="F135" s="15" t="s">
        <v>374</v>
      </c>
      <c r="H135" s="12" t="s">
        <v>424</v>
      </c>
      <c r="I135" s="14" t="s">
        <v>435</v>
      </c>
      <c r="J135" s="19">
        <v>180</v>
      </c>
      <c r="K135" s="27">
        <v>838747.6</v>
      </c>
      <c r="L135" s="24">
        <v>135740</v>
      </c>
      <c r="M135" s="12" t="s">
        <v>458</v>
      </c>
      <c r="N135" s="27">
        <v>838747.6</v>
      </c>
    </row>
    <row r="136" spans="1:14" ht="24.75" x14ac:dyDescent="0.25">
      <c r="A136" s="12">
        <v>6</v>
      </c>
      <c r="B136" s="12">
        <v>2025</v>
      </c>
      <c r="C136" s="6">
        <v>1</v>
      </c>
      <c r="D136" s="5">
        <v>3</v>
      </c>
      <c r="E136" s="14" t="s">
        <v>254</v>
      </c>
      <c r="F136" s="15" t="s">
        <v>375</v>
      </c>
      <c r="H136" s="12" t="s">
        <v>3</v>
      </c>
      <c r="I136" s="14" t="s">
        <v>433</v>
      </c>
      <c r="J136" s="19">
        <v>300</v>
      </c>
      <c r="K136" s="27">
        <v>999999.7</v>
      </c>
      <c r="L136" s="24">
        <v>352417.3</v>
      </c>
      <c r="M136" s="12" t="s">
        <v>458</v>
      </c>
      <c r="N136" s="27">
        <v>999999.7</v>
      </c>
    </row>
    <row r="137" spans="1:14" ht="33" x14ac:dyDescent="0.25">
      <c r="A137" s="12">
        <v>7</v>
      </c>
      <c r="B137" s="12">
        <v>2025</v>
      </c>
      <c r="C137" s="6">
        <v>1</v>
      </c>
      <c r="D137" s="5">
        <v>3</v>
      </c>
      <c r="E137" s="14" t="s">
        <v>255</v>
      </c>
      <c r="F137" s="15" t="s">
        <v>375</v>
      </c>
      <c r="H137" s="12" t="s">
        <v>3</v>
      </c>
      <c r="I137" s="14" t="s">
        <v>434</v>
      </c>
      <c r="J137" s="19">
        <v>300</v>
      </c>
      <c r="K137" s="27">
        <v>999999.78</v>
      </c>
      <c r="L137" s="24">
        <v>352417.31</v>
      </c>
      <c r="M137" s="12" t="s">
        <v>458</v>
      </c>
      <c r="N137" s="27">
        <v>999999.78</v>
      </c>
    </row>
    <row r="138" spans="1:14" ht="24.75" x14ac:dyDescent="0.25">
      <c r="A138" s="12">
        <v>8</v>
      </c>
      <c r="B138" s="12">
        <v>2025</v>
      </c>
      <c r="C138" s="6">
        <v>1</v>
      </c>
      <c r="D138" s="5">
        <v>1</v>
      </c>
      <c r="E138" s="14" t="s">
        <v>256</v>
      </c>
      <c r="F138" s="15" t="s">
        <v>376</v>
      </c>
      <c r="H138" s="12" t="s">
        <v>3</v>
      </c>
      <c r="I138" s="14" t="s">
        <v>446</v>
      </c>
      <c r="J138" s="19">
        <v>700</v>
      </c>
      <c r="K138" s="27">
        <v>1000000</v>
      </c>
      <c r="L138" s="24">
        <v>202901.8</v>
      </c>
      <c r="M138" s="12" t="s">
        <v>458</v>
      </c>
      <c r="N138" s="27">
        <v>1000000</v>
      </c>
    </row>
    <row r="139" spans="1:14" ht="24.75" x14ac:dyDescent="0.25">
      <c r="A139" s="12">
        <v>9</v>
      </c>
      <c r="B139" s="12">
        <v>2025</v>
      </c>
      <c r="C139" s="6">
        <v>1</v>
      </c>
      <c r="D139" s="5">
        <v>3</v>
      </c>
      <c r="E139" s="14" t="s">
        <v>257</v>
      </c>
      <c r="F139" s="15" t="s">
        <v>377</v>
      </c>
      <c r="H139" s="12" t="s">
        <v>3</v>
      </c>
      <c r="I139" s="14" t="s">
        <v>426</v>
      </c>
      <c r="J139" s="19">
        <v>280</v>
      </c>
      <c r="K139" s="27">
        <v>1000000</v>
      </c>
      <c r="L139" s="24">
        <v>200177.52</v>
      </c>
      <c r="M139" s="12" t="s">
        <v>458</v>
      </c>
      <c r="N139" s="27">
        <v>1000000</v>
      </c>
    </row>
    <row r="140" spans="1:14" ht="24.75" x14ac:dyDescent="0.25">
      <c r="A140" s="12">
        <v>10</v>
      </c>
      <c r="B140" s="12">
        <v>2025</v>
      </c>
      <c r="C140" s="6">
        <v>1</v>
      </c>
      <c r="D140" s="5">
        <v>3</v>
      </c>
      <c r="E140" s="14" t="s">
        <v>258</v>
      </c>
      <c r="F140" s="15" t="s">
        <v>378</v>
      </c>
      <c r="H140" s="12" t="s">
        <v>3</v>
      </c>
      <c r="I140" s="14" t="s">
        <v>425</v>
      </c>
      <c r="J140" s="19">
        <v>160</v>
      </c>
      <c r="K140" s="27">
        <v>681362.01</v>
      </c>
      <c r="L140" s="24">
        <v>204420</v>
      </c>
      <c r="M140" s="12" t="s">
        <v>458</v>
      </c>
      <c r="N140" s="27">
        <v>681362.01</v>
      </c>
    </row>
    <row r="141" spans="1:14" ht="24.75" x14ac:dyDescent="0.25">
      <c r="A141" s="12">
        <v>11</v>
      </c>
      <c r="B141" s="12">
        <v>2025</v>
      </c>
      <c r="C141" s="6">
        <v>1</v>
      </c>
      <c r="D141" s="5">
        <v>3</v>
      </c>
      <c r="E141" s="14" t="s">
        <v>259</v>
      </c>
      <c r="F141" s="15" t="s">
        <v>379</v>
      </c>
      <c r="H141" s="12" t="s">
        <v>3</v>
      </c>
      <c r="I141" s="14" t="s">
        <v>426</v>
      </c>
      <c r="J141" s="19">
        <v>200</v>
      </c>
      <c r="K141" s="27">
        <v>599540.75</v>
      </c>
      <c r="L141" s="24">
        <v>186367</v>
      </c>
      <c r="M141" s="12" t="s">
        <v>458</v>
      </c>
      <c r="N141" s="27">
        <v>599540.75</v>
      </c>
    </row>
    <row r="142" spans="1:14" ht="24.75" x14ac:dyDescent="0.25">
      <c r="A142" s="12">
        <v>12</v>
      </c>
      <c r="B142" s="12">
        <v>2025</v>
      </c>
      <c r="C142" s="6">
        <v>1</v>
      </c>
      <c r="D142" s="12">
        <v>2</v>
      </c>
      <c r="E142" s="14" t="s">
        <v>260</v>
      </c>
      <c r="F142" s="15" t="s">
        <v>380</v>
      </c>
      <c r="H142" s="12" t="s">
        <v>424</v>
      </c>
      <c r="I142" s="14" t="s">
        <v>447</v>
      </c>
      <c r="J142" s="19">
        <v>172</v>
      </c>
      <c r="K142" s="27">
        <v>640000</v>
      </c>
      <c r="L142" s="24">
        <v>160000</v>
      </c>
      <c r="M142" s="12" t="s">
        <v>458</v>
      </c>
      <c r="N142" s="27">
        <v>640000</v>
      </c>
    </row>
    <row r="143" spans="1:14" ht="24.75" x14ac:dyDescent="0.25">
      <c r="A143" s="12">
        <v>13</v>
      </c>
      <c r="B143" s="12">
        <v>2025</v>
      </c>
      <c r="C143" s="6">
        <v>1</v>
      </c>
      <c r="D143" s="5">
        <v>3</v>
      </c>
      <c r="E143" s="14" t="s">
        <v>261</v>
      </c>
      <c r="F143" s="15" t="s">
        <v>381</v>
      </c>
      <c r="H143" s="12" t="s">
        <v>424</v>
      </c>
      <c r="I143" s="14" t="s">
        <v>434</v>
      </c>
      <c r="J143" s="19">
        <v>280</v>
      </c>
      <c r="K143" s="27">
        <v>999872.91</v>
      </c>
      <c r="L143" s="24">
        <v>189000</v>
      </c>
      <c r="M143" s="12" t="s">
        <v>458</v>
      </c>
      <c r="N143" s="27">
        <v>999872.91</v>
      </c>
    </row>
    <row r="144" spans="1:14" ht="24.75" x14ac:dyDescent="0.25">
      <c r="A144" s="12">
        <v>14</v>
      </c>
      <c r="B144" s="12">
        <v>2025</v>
      </c>
      <c r="C144" s="6">
        <v>1</v>
      </c>
      <c r="D144" s="5">
        <v>3</v>
      </c>
      <c r="E144" s="14" t="s">
        <v>262</v>
      </c>
      <c r="F144" s="15" t="s">
        <v>381</v>
      </c>
      <c r="H144" s="12" t="s">
        <v>424</v>
      </c>
      <c r="I144" s="14" t="s">
        <v>434</v>
      </c>
      <c r="J144" s="19">
        <v>300</v>
      </c>
      <c r="K144" s="27">
        <v>999937.58</v>
      </c>
      <c r="L144" s="24">
        <v>200400</v>
      </c>
      <c r="M144" s="12" t="s">
        <v>458</v>
      </c>
      <c r="N144" s="27">
        <v>999937.58</v>
      </c>
    </row>
    <row r="145" spans="1:14" ht="16.5" x14ac:dyDescent="0.25">
      <c r="A145" s="12">
        <v>15</v>
      </c>
      <c r="B145" s="12">
        <v>2025</v>
      </c>
      <c r="C145" s="6">
        <v>1</v>
      </c>
      <c r="D145" s="5">
        <v>3</v>
      </c>
      <c r="E145" s="14" t="s">
        <v>263</v>
      </c>
      <c r="F145" s="15" t="s">
        <v>382</v>
      </c>
      <c r="H145" s="12" t="s">
        <v>3</v>
      </c>
      <c r="I145" s="14" t="s">
        <v>427</v>
      </c>
      <c r="J145" s="19">
        <v>300</v>
      </c>
      <c r="K145" s="27">
        <v>999218.4</v>
      </c>
      <c r="L145" s="24">
        <v>693290</v>
      </c>
      <c r="M145" s="12" t="s">
        <v>458</v>
      </c>
      <c r="N145" s="27">
        <v>999218.4</v>
      </c>
    </row>
    <row r="146" spans="1:14" ht="16.5" x14ac:dyDescent="0.25">
      <c r="A146" s="12">
        <v>16</v>
      </c>
      <c r="B146" s="12">
        <v>2025</v>
      </c>
      <c r="C146" s="6">
        <v>1</v>
      </c>
      <c r="D146" s="5">
        <v>3</v>
      </c>
      <c r="E146" s="14" t="s">
        <v>264</v>
      </c>
      <c r="F146" s="15" t="s">
        <v>382</v>
      </c>
      <c r="H146" s="12" t="s">
        <v>3</v>
      </c>
      <c r="I146" s="14" t="s">
        <v>430</v>
      </c>
      <c r="J146" s="19">
        <v>350</v>
      </c>
      <c r="K146" s="27">
        <v>999965.45</v>
      </c>
      <c r="L146" s="24">
        <v>135010</v>
      </c>
      <c r="M146" s="12" t="s">
        <v>458</v>
      </c>
      <c r="N146" s="27">
        <v>999965.45</v>
      </c>
    </row>
    <row r="147" spans="1:14" ht="24.75" x14ac:dyDescent="0.25">
      <c r="A147" s="12">
        <v>17</v>
      </c>
      <c r="B147" s="12">
        <v>2025</v>
      </c>
      <c r="C147" s="6">
        <v>1</v>
      </c>
      <c r="D147" s="12">
        <v>2</v>
      </c>
      <c r="E147" s="14" t="s">
        <v>265</v>
      </c>
      <c r="F147" s="15" t="s">
        <v>383</v>
      </c>
      <c r="H147" s="12" t="s">
        <v>3</v>
      </c>
      <c r="I147" s="14" t="s">
        <v>425</v>
      </c>
      <c r="J147" s="19">
        <v>160</v>
      </c>
      <c r="K147" s="27">
        <v>659363.06000000006</v>
      </c>
      <c r="L147" s="24">
        <v>120100</v>
      </c>
      <c r="M147" s="12" t="s">
        <v>458</v>
      </c>
      <c r="N147" s="27">
        <v>659363.06000000006</v>
      </c>
    </row>
    <row r="148" spans="1:14" ht="41.25" x14ac:dyDescent="0.25">
      <c r="A148" s="12">
        <v>18</v>
      </c>
      <c r="B148" s="12">
        <v>2025</v>
      </c>
      <c r="C148" s="6">
        <v>1</v>
      </c>
      <c r="D148" s="5">
        <v>3</v>
      </c>
      <c r="E148" s="14" t="s">
        <v>266</v>
      </c>
      <c r="F148" s="15" t="s">
        <v>384</v>
      </c>
      <c r="H148" s="12" t="s">
        <v>424</v>
      </c>
      <c r="I148" s="14" t="s">
        <v>434</v>
      </c>
      <c r="J148" s="19">
        <v>350</v>
      </c>
      <c r="K148" s="27">
        <v>999943.15</v>
      </c>
      <c r="L148" s="24">
        <v>191175</v>
      </c>
      <c r="M148" s="12" t="s">
        <v>458</v>
      </c>
      <c r="N148" s="27">
        <v>999943.15</v>
      </c>
    </row>
    <row r="149" spans="1:14" ht="24.75" x14ac:dyDescent="0.25">
      <c r="A149" s="12">
        <v>19</v>
      </c>
      <c r="B149" s="12">
        <v>2025</v>
      </c>
      <c r="C149" s="6">
        <v>1</v>
      </c>
      <c r="D149" s="5">
        <v>3</v>
      </c>
      <c r="E149" s="14" t="s">
        <v>267</v>
      </c>
      <c r="F149" s="15" t="s">
        <v>385</v>
      </c>
      <c r="H149" s="12" t="s">
        <v>3</v>
      </c>
      <c r="I149" s="14" t="s">
        <v>445</v>
      </c>
      <c r="J149" s="19">
        <v>80</v>
      </c>
      <c r="K149" s="27">
        <v>391739.64</v>
      </c>
      <c r="L149" s="24">
        <v>102750</v>
      </c>
      <c r="M149" s="12" t="s">
        <v>458</v>
      </c>
      <c r="N149" s="27">
        <v>391739.64</v>
      </c>
    </row>
    <row r="150" spans="1:14" ht="24.75" x14ac:dyDescent="0.25">
      <c r="A150" s="12">
        <v>20</v>
      </c>
      <c r="B150" s="12">
        <v>2025</v>
      </c>
      <c r="C150" s="6">
        <v>1</v>
      </c>
      <c r="D150" s="5">
        <v>3</v>
      </c>
      <c r="E150" s="14" t="s">
        <v>268</v>
      </c>
      <c r="F150" s="15" t="s">
        <v>386</v>
      </c>
      <c r="H150" s="12" t="s">
        <v>424</v>
      </c>
      <c r="I150" s="14" t="s">
        <v>432</v>
      </c>
      <c r="J150" s="19">
        <v>257</v>
      </c>
      <c r="K150" s="27">
        <v>479327.35</v>
      </c>
      <c r="L150" s="24">
        <v>86440</v>
      </c>
      <c r="M150" s="13" t="s">
        <v>458</v>
      </c>
      <c r="N150" s="27">
        <v>479327.35</v>
      </c>
    </row>
    <row r="151" spans="1:14" ht="16.5" x14ac:dyDescent="0.25">
      <c r="A151" s="12">
        <v>21</v>
      </c>
      <c r="B151" s="12">
        <v>2025</v>
      </c>
      <c r="C151" s="6">
        <v>1</v>
      </c>
      <c r="D151" s="5">
        <v>1</v>
      </c>
      <c r="E151" s="14" t="s">
        <v>269</v>
      </c>
      <c r="F151" s="15" t="s">
        <v>387</v>
      </c>
      <c r="H151" s="12" t="s">
        <v>3</v>
      </c>
      <c r="I151" s="14" t="s">
        <v>425</v>
      </c>
      <c r="J151" s="19">
        <v>425</v>
      </c>
      <c r="K151" s="27">
        <v>1000000</v>
      </c>
      <c r="L151" s="24">
        <v>250000.94</v>
      </c>
      <c r="M151" s="12" t="s">
        <v>458</v>
      </c>
      <c r="N151" s="27">
        <v>1000000</v>
      </c>
    </row>
    <row r="152" spans="1:14" ht="24.75" x14ac:dyDescent="0.25">
      <c r="A152" s="12">
        <v>22</v>
      </c>
      <c r="B152" s="12">
        <v>2025</v>
      </c>
      <c r="C152" s="6">
        <v>1</v>
      </c>
      <c r="D152" s="5">
        <v>1</v>
      </c>
      <c r="E152" s="14" t="s">
        <v>270</v>
      </c>
      <c r="F152" s="15" t="s">
        <v>388</v>
      </c>
      <c r="H152" s="12" t="s">
        <v>3</v>
      </c>
      <c r="I152" s="14" t="s">
        <v>426</v>
      </c>
      <c r="J152" s="19">
        <v>148</v>
      </c>
      <c r="K152" s="27">
        <v>1000000</v>
      </c>
      <c r="L152" s="24">
        <v>87690</v>
      </c>
      <c r="M152" s="13" t="s">
        <v>458</v>
      </c>
      <c r="N152" s="27">
        <v>1000000</v>
      </c>
    </row>
    <row r="153" spans="1:14" x14ac:dyDescent="0.25">
      <c r="A153" s="12">
        <v>23</v>
      </c>
      <c r="B153" s="12">
        <v>2025</v>
      </c>
      <c r="C153" s="6">
        <v>1</v>
      </c>
      <c r="D153" s="5">
        <v>1</v>
      </c>
      <c r="E153" s="14" t="s">
        <v>271</v>
      </c>
      <c r="F153" s="15" t="s">
        <v>389</v>
      </c>
      <c r="H153" s="12" t="s">
        <v>3</v>
      </c>
      <c r="I153" s="14" t="s">
        <v>426</v>
      </c>
      <c r="J153" s="19">
        <v>87</v>
      </c>
      <c r="K153" s="27">
        <v>207710.01</v>
      </c>
      <c r="L153" s="24">
        <v>10300</v>
      </c>
      <c r="M153" s="12" t="s">
        <v>458</v>
      </c>
      <c r="N153" s="27">
        <v>207710.01</v>
      </c>
    </row>
    <row r="154" spans="1:14" ht="24.75" x14ac:dyDescent="0.25">
      <c r="A154" s="12">
        <v>24</v>
      </c>
      <c r="B154" s="12">
        <v>2025</v>
      </c>
      <c r="C154" s="6">
        <v>1</v>
      </c>
      <c r="D154" s="5">
        <v>3</v>
      </c>
      <c r="E154" s="14" t="s">
        <v>272</v>
      </c>
      <c r="F154" s="15" t="s">
        <v>390</v>
      </c>
      <c r="H154" s="12" t="s">
        <v>3</v>
      </c>
      <c r="I154" s="14" t="s">
        <v>426</v>
      </c>
      <c r="J154" s="19">
        <v>220</v>
      </c>
      <c r="K154" s="27">
        <v>1000000</v>
      </c>
      <c r="L154" s="24">
        <v>200000</v>
      </c>
      <c r="M154" s="13" t="s">
        <v>458</v>
      </c>
      <c r="N154" s="27">
        <v>1000000</v>
      </c>
    </row>
    <row r="155" spans="1:14" ht="24.75" x14ac:dyDescent="0.25">
      <c r="A155" s="12">
        <v>25</v>
      </c>
      <c r="B155" s="12">
        <v>2025</v>
      </c>
      <c r="C155" s="6">
        <v>1</v>
      </c>
      <c r="D155" s="5">
        <v>3</v>
      </c>
      <c r="E155" s="14" t="s">
        <v>273</v>
      </c>
      <c r="F155" s="15" t="s">
        <v>391</v>
      </c>
      <c r="H155" s="12" t="s">
        <v>3</v>
      </c>
      <c r="I155" s="14" t="s">
        <v>437</v>
      </c>
      <c r="J155" s="19">
        <v>90</v>
      </c>
      <c r="K155" s="27">
        <v>533878.73</v>
      </c>
      <c r="L155" s="24">
        <v>96985</v>
      </c>
      <c r="M155" s="12" t="s">
        <v>458</v>
      </c>
      <c r="N155" s="27">
        <v>533878.73</v>
      </c>
    </row>
    <row r="156" spans="1:14" ht="16.5" x14ac:dyDescent="0.25">
      <c r="A156" s="12">
        <v>26</v>
      </c>
      <c r="B156" s="12">
        <v>2025</v>
      </c>
      <c r="C156" s="6">
        <v>1</v>
      </c>
      <c r="D156" s="5">
        <v>3</v>
      </c>
      <c r="E156" s="14" t="s">
        <v>274</v>
      </c>
      <c r="F156" s="15" t="s">
        <v>392</v>
      </c>
      <c r="H156" s="12" t="s">
        <v>3</v>
      </c>
      <c r="I156" s="14" t="s">
        <v>428</v>
      </c>
      <c r="J156" s="19">
        <v>90</v>
      </c>
      <c r="K156" s="27">
        <v>533209.73</v>
      </c>
      <c r="L156" s="24">
        <v>96985</v>
      </c>
      <c r="M156" s="12" t="s">
        <v>458</v>
      </c>
      <c r="N156" s="27">
        <v>533209.73</v>
      </c>
    </row>
    <row r="157" spans="1:14" ht="24.75" x14ac:dyDescent="0.25">
      <c r="A157" s="12">
        <v>27</v>
      </c>
      <c r="B157" s="12">
        <v>2025</v>
      </c>
      <c r="C157" s="6">
        <v>1</v>
      </c>
      <c r="D157" s="12">
        <v>2</v>
      </c>
      <c r="E157" s="14" t="s">
        <v>275</v>
      </c>
      <c r="F157" s="15" t="s">
        <v>393</v>
      </c>
      <c r="H157" s="12" t="s">
        <v>3</v>
      </c>
      <c r="I157" s="14" t="s">
        <v>425</v>
      </c>
      <c r="J157" s="19">
        <v>145</v>
      </c>
      <c r="K157" s="27">
        <v>501473.48</v>
      </c>
      <c r="L157" s="24">
        <v>94200</v>
      </c>
      <c r="M157" s="12" t="s">
        <v>458</v>
      </c>
      <c r="N157" s="27">
        <v>501473.48</v>
      </c>
    </row>
    <row r="158" spans="1:14" ht="24.75" x14ac:dyDescent="0.25">
      <c r="A158" s="12">
        <v>28</v>
      </c>
      <c r="B158" s="12">
        <v>2025</v>
      </c>
      <c r="C158" s="6">
        <v>1</v>
      </c>
      <c r="D158" s="5">
        <v>3</v>
      </c>
      <c r="E158" s="14" t="s">
        <v>276</v>
      </c>
      <c r="F158" s="15" t="s">
        <v>394</v>
      </c>
      <c r="H158" s="12" t="s">
        <v>424</v>
      </c>
      <c r="I158" s="14" t="s">
        <v>434</v>
      </c>
      <c r="J158" s="19">
        <v>300</v>
      </c>
      <c r="K158" s="27">
        <v>999570.74</v>
      </c>
      <c r="L158" s="24">
        <v>200400</v>
      </c>
      <c r="M158" s="12" t="s">
        <v>458</v>
      </c>
      <c r="N158" s="27">
        <v>999570.74</v>
      </c>
    </row>
    <row r="159" spans="1:14" ht="33" x14ac:dyDescent="0.25">
      <c r="A159" s="12">
        <v>29</v>
      </c>
      <c r="B159" s="12">
        <v>2025</v>
      </c>
      <c r="C159" s="6">
        <v>1</v>
      </c>
      <c r="D159" s="5">
        <v>3</v>
      </c>
      <c r="E159" s="14" t="s">
        <v>277</v>
      </c>
      <c r="F159" s="15" t="s">
        <v>337</v>
      </c>
      <c r="H159" s="12" t="s">
        <v>3</v>
      </c>
      <c r="I159" s="14" t="s">
        <v>427</v>
      </c>
      <c r="J159" s="19">
        <v>50</v>
      </c>
      <c r="K159" s="27">
        <v>457956</v>
      </c>
      <c r="L159" s="24">
        <v>100000</v>
      </c>
      <c r="M159" s="12" t="s">
        <v>458</v>
      </c>
      <c r="N159" s="27">
        <v>457956</v>
      </c>
    </row>
    <row r="160" spans="1:14" ht="24.75" x14ac:dyDescent="0.25">
      <c r="A160" s="12">
        <v>30</v>
      </c>
      <c r="B160" s="12">
        <v>2025</v>
      </c>
      <c r="C160" s="6">
        <v>1</v>
      </c>
      <c r="D160" s="5">
        <v>3</v>
      </c>
      <c r="E160" s="14" t="s">
        <v>278</v>
      </c>
      <c r="F160" s="15" t="s">
        <v>395</v>
      </c>
      <c r="H160" s="12" t="s">
        <v>424</v>
      </c>
      <c r="I160" s="14" t="s">
        <v>434</v>
      </c>
      <c r="J160" s="19">
        <v>180</v>
      </c>
      <c r="K160" s="27">
        <v>929229.85</v>
      </c>
      <c r="L160" s="24">
        <v>173400</v>
      </c>
      <c r="M160" s="13" t="s">
        <v>458</v>
      </c>
      <c r="N160" s="27">
        <v>929229.85</v>
      </c>
    </row>
    <row r="161" spans="1:14" ht="33" x14ac:dyDescent="0.25">
      <c r="A161" s="12">
        <v>31</v>
      </c>
      <c r="B161" s="12">
        <v>2025</v>
      </c>
      <c r="C161" s="6">
        <v>1</v>
      </c>
      <c r="D161" s="5">
        <v>1</v>
      </c>
      <c r="E161" s="14" t="s">
        <v>279</v>
      </c>
      <c r="F161" s="15" t="s">
        <v>396</v>
      </c>
      <c r="H161" s="12" t="s">
        <v>3</v>
      </c>
      <c r="I161" s="14" t="s">
        <v>426</v>
      </c>
      <c r="J161" s="19">
        <v>416</v>
      </c>
      <c r="K161" s="27">
        <v>997434.4</v>
      </c>
      <c r="L161" s="24">
        <v>179000</v>
      </c>
      <c r="M161" s="12" t="s">
        <v>458</v>
      </c>
      <c r="N161" s="27">
        <v>997434.4</v>
      </c>
    </row>
    <row r="162" spans="1:14" ht="24.75" x14ac:dyDescent="0.25">
      <c r="A162" s="12">
        <v>32</v>
      </c>
      <c r="B162" s="12">
        <v>2025</v>
      </c>
      <c r="C162" s="6">
        <v>1</v>
      </c>
      <c r="D162" s="5">
        <v>3</v>
      </c>
      <c r="E162" s="14" t="s">
        <v>280</v>
      </c>
      <c r="F162" s="15" t="s">
        <v>397</v>
      </c>
      <c r="H162" s="12" t="s">
        <v>424</v>
      </c>
      <c r="I162" s="14" t="s">
        <v>434</v>
      </c>
      <c r="J162" s="19">
        <v>320</v>
      </c>
      <c r="K162" s="27">
        <v>999446.98</v>
      </c>
      <c r="L162" s="24">
        <v>202200</v>
      </c>
      <c r="M162" s="12" t="s">
        <v>458</v>
      </c>
      <c r="N162" s="27">
        <v>999446.98</v>
      </c>
    </row>
    <row r="163" spans="1:14" ht="24.75" x14ac:dyDescent="0.25">
      <c r="A163" s="12">
        <v>33</v>
      </c>
      <c r="B163" s="12">
        <v>2025</v>
      </c>
      <c r="C163" s="6">
        <v>1</v>
      </c>
      <c r="D163" s="5">
        <v>3</v>
      </c>
      <c r="E163" s="14" t="s">
        <v>281</v>
      </c>
      <c r="F163" s="15" t="s">
        <v>398</v>
      </c>
      <c r="H163" s="12" t="s">
        <v>424</v>
      </c>
      <c r="I163" s="14" t="s">
        <v>447</v>
      </c>
      <c r="J163" s="19">
        <v>144</v>
      </c>
      <c r="K163" s="27">
        <v>529890.18000000005</v>
      </c>
      <c r="L163" s="24">
        <v>101640</v>
      </c>
      <c r="M163" s="12" t="s">
        <v>458</v>
      </c>
      <c r="N163" s="27">
        <v>529890.18000000005</v>
      </c>
    </row>
    <row r="164" spans="1:14" ht="16.5" x14ac:dyDescent="0.25">
      <c r="A164" s="12">
        <v>34</v>
      </c>
      <c r="B164" s="12">
        <v>2025</v>
      </c>
      <c r="C164" s="6">
        <v>1</v>
      </c>
      <c r="D164" s="12">
        <v>2</v>
      </c>
      <c r="E164" s="14" t="s">
        <v>282</v>
      </c>
      <c r="F164" s="15" t="s">
        <v>399</v>
      </c>
      <c r="H164" s="12" t="s">
        <v>3</v>
      </c>
      <c r="I164" s="14" t="s">
        <v>425</v>
      </c>
      <c r="J164" s="19">
        <v>155</v>
      </c>
      <c r="K164" s="27">
        <v>593387.5</v>
      </c>
      <c r="L164" s="24">
        <v>100000</v>
      </c>
      <c r="M164" s="12" t="s">
        <v>458</v>
      </c>
      <c r="N164" s="27">
        <v>593387.5</v>
      </c>
    </row>
    <row r="165" spans="1:14" ht="24.75" x14ac:dyDescent="0.25">
      <c r="A165" s="12">
        <v>35</v>
      </c>
      <c r="B165" s="12">
        <v>2025</v>
      </c>
      <c r="C165" s="6">
        <v>1</v>
      </c>
      <c r="D165" s="5">
        <v>3</v>
      </c>
      <c r="E165" s="14" t="s">
        <v>283</v>
      </c>
      <c r="F165" s="15" t="s">
        <v>400</v>
      </c>
      <c r="H165" s="12" t="s">
        <v>424</v>
      </c>
      <c r="I165" s="14" t="s">
        <v>429</v>
      </c>
      <c r="J165" s="19">
        <v>290</v>
      </c>
      <c r="K165" s="27">
        <v>920242.95</v>
      </c>
      <c r="L165" s="24">
        <v>181400</v>
      </c>
      <c r="M165" s="12" t="s">
        <v>458</v>
      </c>
      <c r="N165" s="27">
        <v>920242.95</v>
      </c>
    </row>
    <row r="166" spans="1:14" ht="24.75" x14ac:dyDescent="0.25">
      <c r="A166" s="12">
        <v>36</v>
      </c>
      <c r="B166" s="12">
        <v>2025</v>
      </c>
      <c r="C166" s="6">
        <v>1</v>
      </c>
      <c r="D166" s="5">
        <v>1</v>
      </c>
      <c r="E166" s="14" t="s">
        <v>284</v>
      </c>
      <c r="F166" s="15" t="s">
        <v>401</v>
      </c>
      <c r="H166" s="12" t="s">
        <v>3</v>
      </c>
      <c r="I166" s="14" t="s">
        <v>426</v>
      </c>
      <c r="J166" s="19">
        <v>300</v>
      </c>
      <c r="K166" s="27">
        <v>1000000</v>
      </c>
      <c r="L166" s="24">
        <v>250000</v>
      </c>
      <c r="M166" s="12" t="s">
        <v>458</v>
      </c>
      <c r="N166" s="27">
        <v>1000000</v>
      </c>
    </row>
    <row r="167" spans="1:14" x14ac:dyDescent="0.25">
      <c r="A167" s="12">
        <v>37</v>
      </c>
      <c r="B167" s="12">
        <v>2025</v>
      </c>
      <c r="C167" s="6">
        <v>1</v>
      </c>
      <c r="D167" s="5">
        <v>1</v>
      </c>
      <c r="E167" s="14" t="s">
        <v>285</v>
      </c>
      <c r="F167" s="15" t="s">
        <v>316</v>
      </c>
      <c r="H167" s="12" t="s">
        <v>3</v>
      </c>
      <c r="I167" s="14" t="s">
        <v>426</v>
      </c>
      <c r="J167" s="19">
        <v>342</v>
      </c>
      <c r="K167" s="27">
        <v>997790.68</v>
      </c>
      <c r="L167" s="24">
        <v>200000</v>
      </c>
      <c r="M167" s="12" t="s">
        <v>458</v>
      </c>
      <c r="N167" s="27">
        <v>997790.68</v>
      </c>
    </row>
    <row r="168" spans="1:14" ht="24.75" x14ac:dyDescent="0.25">
      <c r="A168" s="12">
        <v>38</v>
      </c>
      <c r="B168" s="12">
        <v>2025</v>
      </c>
      <c r="C168" s="6">
        <v>1</v>
      </c>
      <c r="D168" s="5">
        <v>1</v>
      </c>
      <c r="E168" s="14" t="s">
        <v>286</v>
      </c>
      <c r="F168" s="15" t="s">
        <v>402</v>
      </c>
      <c r="H168" s="12" t="s">
        <v>3</v>
      </c>
      <c r="I168" s="14" t="s">
        <v>427</v>
      </c>
      <c r="J168" s="19">
        <v>250</v>
      </c>
      <c r="K168" s="27">
        <v>665253.6</v>
      </c>
      <c r="L168" s="24">
        <v>134400</v>
      </c>
      <c r="M168" s="12" t="s">
        <v>458</v>
      </c>
      <c r="N168" s="27">
        <v>665253.6</v>
      </c>
    </row>
    <row r="169" spans="1:14" ht="33" x14ac:dyDescent="0.25">
      <c r="A169" s="12">
        <v>39</v>
      </c>
      <c r="B169" s="12">
        <v>2025</v>
      </c>
      <c r="C169" s="6">
        <v>1</v>
      </c>
      <c r="D169" s="5">
        <v>3</v>
      </c>
      <c r="E169" s="14" t="s">
        <v>287</v>
      </c>
      <c r="F169" s="15" t="s">
        <v>403</v>
      </c>
      <c r="H169" s="12" t="s">
        <v>3</v>
      </c>
      <c r="I169" s="14" t="s">
        <v>427</v>
      </c>
      <c r="J169" s="19">
        <v>100</v>
      </c>
      <c r="K169" s="27">
        <v>1000000</v>
      </c>
      <c r="L169" s="24">
        <v>579117.56999999995</v>
      </c>
      <c r="M169" s="12" t="s">
        <v>458</v>
      </c>
      <c r="N169" s="27">
        <v>1000000</v>
      </c>
    </row>
    <row r="170" spans="1:14" ht="24.75" x14ac:dyDescent="0.25">
      <c r="A170" s="12">
        <v>40</v>
      </c>
      <c r="B170" s="12">
        <v>2025</v>
      </c>
      <c r="C170" s="6">
        <v>1</v>
      </c>
      <c r="D170" s="5">
        <v>3</v>
      </c>
      <c r="E170" s="14" t="s">
        <v>288</v>
      </c>
      <c r="F170" s="15" t="s">
        <v>404</v>
      </c>
      <c r="H170" s="12" t="s">
        <v>3</v>
      </c>
      <c r="I170" s="14" t="s">
        <v>432</v>
      </c>
      <c r="J170" s="19">
        <v>240</v>
      </c>
      <c r="K170" s="27">
        <v>998577.07</v>
      </c>
      <c r="L170" s="24">
        <v>191150</v>
      </c>
      <c r="M170" s="12" t="s">
        <v>458</v>
      </c>
      <c r="N170" s="27">
        <v>998577.07</v>
      </c>
    </row>
    <row r="171" spans="1:14" ht="49.5" x14ac:dyDescent="0.25">
      <c r="A171" s="12">
        <v>41</v>
      </c>
      <c r="B171" s="12">
        <v>2025</v>
      </c>
      <c r="C171" s="6">
        <v>1</v>
      </c>
      <c r="D171" s="5">
        <v>3</v>
      </c>
      <c r="E171" s="14" t="s">
        <v>289</v>
      </c>
      <c r="F171" s="15" t="s">
        <v>405</v>
      </c>
      <c r="H171" s="12" t="s">
        <v>3</v>
      </c>
      <c r="I171" s="14" t="s">
        <v>425</v>
      </c>
      <c r="J171" s="19">
        <v>25</v>
      </c>
      <c r="K171" s="27">
        <v>92104.58</v>
      </c>
      <c r="L171" s="24">
        <v>16825</v>
      </c>
      <c r="M171" s="12" t="s">
        <v>458</v>
      </c>
      <c r="N171" s="27">
        <v>92104.58</v>
      </c>
    </row>
    <row r="172" spans="1:14" ht="24.75" x14ac:dyDescent="0.25">
      <c r="A172" s="12">
        <v>42</v>
      </c>
      <c r="B172" s="12">
        <v>2025</v>
      </c>
      <c r="C172" s="6">
        <v>1</v>
      </c>
      <c r="D172" s="5">
        <v>1</v>
      </c>
      <c r="E172" s="14" t="s">
        <v>290</v>
      </c>
      <c r="F172" s="15" t="s">
        <v>406</v>
      </c>
      <c r="H172" s="12" t="s">
        <v>3</v>
      </c>
      <c r="I172" s="14" t="s">
        <v>426</v>
      </c>
      <c r="J172" s="19">
        <v>80</v>
      </c>
      <c r="K172" s="27">
        <v>183000</v>
      </c>
      <c r="L172" s="24">
        <v>36600</v>
      </c>
      <c r="M172" s="12" t="s">
        <v>458</v>
      </c>
      <c r="N172" s="27">
        <v>183000</v>
      </c>
    </row>
    <row r="173" spans="1:14" ht="33" x14ac:dyDescent="0.25">
      <c r="A173" s="12">
        <v>43</v>
      </c>
      <c r="B173" s="12">
        <v>2025</v>
      </c>
      <c r="C173" s="6">
        <v>1</v>
      </c>
      <c r="D173" s="5">
        <v>3</v>
      </c>
      <c r="E173" s="14" t="s">
        <v>291</v>
      </c>
      <c r="F173" s="15" t="s">
        <v>407</v>
      </c>
      <c r="H173" s="12" t="s">
        <v>3</v>
      </c>
      <c r="I173" s="14" t="s">
        <v>429</v>
      </c>
      <c r="J173" s="19">
        <v>150</v>
      </c>
      <c r="K173" s="27">
        <v>651834.57999999996</v>
      </c>
      <c r="L173" s="24">
        <v>127000</v>
      </c>
      <c r="M173" s="12" t="s">
        <v>458</v>
      </c>
      <c r="N173" s="27">
        <v>651834.57999999996</v>
      </c>
    </row>
    <row r="174" spans="1:14" ht="24.75" x14ac:dyDescent="0.25">
      <c r="A174" s="12">
        <v>44</v>
      </c>
      <c r="B174" s="12">
        <v>2025</v>
      </c>
      <c r="C174" s="6">
        <v>1</v>
      </c>
      <c r="D174" s="5">
        <v>1</v>
      </c>
      <c r="E174" s="14" t="s">
        <v>292</v>
      </c>
      <c r="F174" s="15" t="s">
        <v>408</v>
      </c>
      <c r="H174" s="12" t="s">
        <v>424</v>
      </c>
      <c r="I174" s="14" t="s">
        <v>438</v>
      </c>
      <c r="J174" s="19">
        <v>359</v>
      </c>
      <c r="K174" s="27">
        <v>1000000</v>
      </c>
      <c r="L174" s="24">
        <v>200000</v>
      </c>
      <c r="M174" s="12" t="s">
        <v>458</v>
      </c>
      <c r="N174" s="27">
        <v>1000000</v>
      </c>
    </row>
    <row r="175" spans="1:14" ht="24.75" x14ac:dyDescent="0.25">
      <c r="A175" s="12">
        <v>45</v>
      </c>
      <c r="B175" s="12">
        <v>2025</v>
      </c>
      <c r="C175" s="6">
        <v>1</v>
      </c>
      <c r="D175" s="5">
        <v>3</v>
      </c>
      <c r="E175" s="14" t="s">
        <v>293</v>
      </c>
      <c r="F175" s="15" t="s">
        <v>409</v>
      </c>
      <c r="H175" s="12" t="s">
        <v>3</v>
      </c>
      <c r="I175" s="14" t="s">
        <v>425</v>
      </c>
      <c r="J175" s="19">
        <v>300</v>
      </c>
      <c r="K175" s="27">
        <v>996810</v>
      </c>
      <c r="L175" s="24">
        <v>220500</v>
      </c>
      <c r="M175" s="12" t="s">
        <v>458</v>
      </c>
      <c r="N175" s="27">
        <v>996810</v>
      </c>
    </row>
    <row r="176" spans="1:14" ht="24.75" x14ac:dyDescent="0.25">
      <c r="A176" s="12">
        <v>46</v>
      </c>
      <c r="B176" s="12">
        <v>2025</v>
      </c>
      <c r="C176" s="6">
        <v>1</v>
      </c>
      <c r="D176" s="5">
        <v>3</v>
      </c>
      <c r="E176" s="14" t="s">
        <v>294</v>
      </c>
      <c r="F176" s="15" t="s">
        <v>327</v>
      </c>
      <c r="H176" s="12" t="s">
        <v>3</v>
      </c>
      <c r="I176" s="14" t="s">
        <v>426</v>
      </c>
      <c r="J176" s="19">
        <v>30</v>
      </c>
      <c r="K176" s="27">
        <v>190402.23</v>
      </c>
      <c r="L176" s="24">
        <v>34152.870000000003</v>
      </c>
      <c r="M176" s="12" t="s">
        <v>458</v>
      </c>
      <c r="N176" s="27">
        <v>190402.23</v>
      </c>
    </row>
    <row r="177" spans="1:14" ht="24.75" x14ac:dyDescent="0.25">
      <c r="A177" s="12">
        <v>47</v>
      </c>
      <c r="B177" s="12">
        <v>2025</v>
      </c>
      <c r="C177" s="6">
        <v>1</v>
      </c>
      <c r="D177" s="5">
        <v>3</v>
      </c>
      <c r="E177" s="14" t="s">
        <v>295</v>
      </c>
      <c r="F177" s="15" t="s">
        <v>400</v>
      </c>
      <c r="H177" s="12" t="s">
        <v>424</v>
      </c>
      <c r="I177" s="14" t="s">
        <v>429</v>
      </c>
      <c r="J177" s="19">
        <v>200</v>
      </c>
      <c r="K177" s="27">
        <v>1000000</v>
      </c>
      <c r="L177" s="24">
        <v>204800</v>
      </c>
      <c r="M177" s="12" t="s">
        <v>458</v>
      </c>
      <c r="N177" s="27">
        <v>1000000</v>
      </c>
    </row>
    <row r="178" spans="1:14" ht="24.75" x14ac:dyDescent="0.25">
      <c r="A178" s="12">
        <v>48</v>
      </c>
      <c r="B178" s="12">
        <v>2025</v>
      </c>
      <c r="C178" s="6">
        <v>1</v>
      </c>
      <c r="D178" s="5">
        <v>3</v>
      </c>
      <c r="E178" s="14" t="s">
        <v>296</v>
      </c>
      <c r="F178" s="15" t="s">
        <v>350</v>
      </c>
      <c r="H178" s="12" t="s">
        <v>3</v>
      </c>
      <c r="I178" s="14" t="s">
        <v>427</v>
      </c>
      <c r="J178" s="19">
        <v>150</v>
      </c>
      <c r="K178" s="27">
        <v>571253.53</v>
      </c>
      <c r="L178" s="24">
        <v>292300</v>
      </c>
      <c r="M178" s="12" t="s">
        <v>458</v>
      </c>
      <c r="N178" s="27">
        <v>571253.53</v>
      </c>
    </row>
    <row r="179" spans="1:14" ht="24.75" x14ac:dyDescent="0.25">
      <c r="A179" s="12">
        <v>49</v>
      </c>
      <c r="B179" s="12">
        <v>2025</v>
      </c>
      <c r="C179" s="6">
        <v>1</v>
      </c>
      <c r="D179" s="5">
        <v>3</v>
      </c>
      <c r="E179" s="14" t="s">
        <v>297</v>
      </c>
      <c r="F179" s="15" t="s">
        <v>410</v>
      </c>
      <c r="H179" s="12" t="s">
        <v>424</v>
      </c>
      <c r="I179" s="14" t="s">
        <v>431</v>
      </c>
      <c r="J179" s="19">
        <v>300</v>
      </c>
      <c r="K179" s="27">
        <v>999642.1</v>
      </c>
      <c r="L179" s="24">
        <v>250000</v>
      </c>
      <c r="M179" s="12" t="s">
        <v>458</v>
      </c>
      <c r="N179" s="27">
        <v>999642.1</v>
      </c>
    </row>
    <row r="180" spans="1:14" ht="24.75" x14ac:dyDescent="0.25">
      <c r="A180" s="12">
        <v>50</v>
      </c>
      <c r="B180" s="12">
        <v>2025</v>
      </c>
      <c r="C180" s="6">
        <v>1</v>
      </c>
      <c r="D180" s="5">
        <v>3</v>
      </c>
      <c r="E180" s="14" t="s">
        <v>298</v>
      </c>
      <c r="F180" s="15" t="s">
        <v>411</v>
      </c>
      <c r="H180" s="12" t="s">
        <v>424</v>
      </c>
      <c r="I180" s="14" t="s">
        <v>440</v>
      </c>
      <c r="J180" s="19">
        <v>240</v>
      </c>
      <c r="K180" s="27">
        <v>999987.73</v>
      </c>
      <c r="L180" s="24">
        <v>180150</v>
      </c>
      <c r="M180" s="12" t="s">
        <v>458</v>
      </c>
      <c r="N180" s="27">
        <v>999987.73</v>
      </c>
    </row>
    <row r="181" spans="1:14" ht="24.75" x14ac:dyDescent="0.25">
      <c r="A181" s="12">
        <v>51</v>
      </c>
      <c r="B181" s="12">
        <v>2025</v>
      </c>
      <c r="C181" s="6">
        <v>1</v>
      </c>
      <c r="D181" s="5">
        <v>1</v>
      </c>
      <c r="E181" s="14" t="s">
        <v>299</v>
      </c>
      <c r="F181" s="15" t="s">
        <v>412</v>
      </c>
      <c r="H181" s="12" t="s">
        <v>3</v>
      </c>
      <c r="I181" s="14" t="s">
        <v>426</v>
      </c>
      <c r="J181" s="19">
        <v>300</v>
      </c>
      <c r="K181" s="27">
        <v>999999.46</v>
      </c>
      <c r="L181" s="24">
        <v>202307.27</v>
      </c>
      <c r="M181" s="12" t="s">
        <v>458</v>
      </c>
      <c r="N181" s="27">
        <v>999999.46</v>
      </c>
    </row>
    <row r="182" spans="1:14" ht="16.5" x14ac:dyDescent="0.25">
      <c r="A182" s="12">
        <v>52</v>
      </c>
      <c r="B182" s="12">
        <v>2025</v>
      </c>
      <c r="C182" s="6">
        <v>1</v>
      </c>
      <c r="D182" s="5">
        <v>3</v>
      </c>
      <c r="E182" s="14" t="s">
        <v>300</v>
      </c>
      <c r="F182" s="15" t="s">
        <v>413</v>
      </c>
      <c r="H182" s="12" t="s">
        <v>3</v>
      </c>
      <c r="I182" s="14" t="s">
        <v>432</v>
      </c>
      <c r="J182" s="19">
        <v>260</v>
      </c>
      <c r="K182" s="27">
        <v>999597.5</v>
      </c>
      <c r="L182" s="24">
        <v>294000</v>
      </c>
      <c r="M182" s="13" t="s">
        <v>458</v>
      </c>
      <c r="N182" s="27">
        <v>999597.5</v>
      </c>
    </row>
    <row r="183" spans="1:14" ht="16.5" x14ac:dyDescent="0.25">
      <c r="A183" s="12">
        <v>53</v>
      </c>
      <c r="B183" s="12">
        <v>2025</v>
      </c>
      <c r="C183" s="6">
        <v>1</v>
      </c>
      <c r="D183" s="5">
        <v>1</v>
      </c>
      <c r="E183" s="14" t="s">
        <v>301</v>
      </c>
      <c r="F183" s="15" t="s">
        <v>414</v>
      </c>
      <c r="H183" s="12" t="s">
        <v>3</v>
      </c>
      <c r="I183" s="14" t="s">
        <v>426</v>
      </c>
      <c r="J183" s="19">
        <v>25</v>
      </c>
      <c r="K183" s="27">
        <v>303164</v>
      </c>
      <c r="L183" s="24">
        <v>75791</v>
      </c>
      <c r="M183" s="12" t="s">
        <v>458</v>
      </c>
      <c r="N183" s="27">
        <v>303164</v>
      </c>
    </row>
    <row r="184" spans="1:14" ht="24.75" x14ac:dyDescent="0.25">
      <c r="A184" s="12">
        <v>54</v>
      </c>
      <c r="B184" s="12">
        <v>2025</v>
      </c>
      <c r="C184" s="6">
        <v>1</v>
      </c>
      <c r="D184" s="5">
        <v>3</v>
      </c>
      <c r="E184" s="14" t="s">
        <v>302</v>
      </c>
      <c r="F184" s="15" t="s">
        <v>404</v>
      </c>
      <c r="H184" s="12" t="s">
        <v>3</v>
      </c>
      <c r="I184" s="14" t="s">
        <v>440</v>
      </c>
      <c r="J184" s="19">
        <v>240</v>
      </c>
      <c r="K184" s="27">
        <v>999611.34</v>
      </c>
      <c r="L184" s="24">
        <v>191150</v>
      </c>
      <c r="M184" s="12" t="s">
        <v>458</v>
      </c>
      <c r="N184" s="27">
        <v>999611.34</v>
      </c>
    </row>
    <row r="185" spans="1:14" ht="33" x14ac:dyDescent="0.25">
      <c r="A185" s="12">
        <v>55</v>
      </c>
      <c r="B185" s="12">
        <v>2025</v>
      </c>
      <c r="C185" s="6">
        <v>1</v>
      </c>
      <c r="D185" s="5">
        <v>3</v>
      </c>
      <c r="E185" s="14" t="s">
        <v>303</v>
      </c>
      <c r="F185" s="15" t="s">
        <v>415</v>
      </c>
      <c r="H185" s="12" t="s">
        <v>424</v>
      </c>
      <c r="I185" s="14" t="s">
        <v>427</v>
      </c>
      <c r="J185" s="19">
        <v>230</v>
      </c>
      <c r="K185" s="27">
        <v>999998.9</v>
      </c>
      <c r="L185" s="24">
        <v>250000</v>
      </c>
      <c r="M185" s="12" t="s">
        <v>458</v>
      </c>
      <c r="N185" s="27">
        <v>999998.9</v>
      </c>
    </row>
    <row r="186" spans="1:14" ht="33" x14ac:dyDescent="0.25">
      <c r="A186" s="12">
        <v>56</v>
      </c>
      <c r="B186" s="12">
        <v>2025</v>
      </c>
      <c r="C186" s="6">
        <v>1</v>
      </c>
      <c r="D186" s="5">
        <v>3</v>
      </c>
      <c r="E186" s="14" t="s">
        <v>304</v>
      </c>
      <c r="F186" s="15" t="s">
        <v>401</v>
      </c>
      <c r="H186" s="12" t="s">
        <v>3</v>
      </c>
      <c r="I186" s="14" t="s">
        <v>426</v>
      </c>
      <c r="J186" s="19">
        <v>50</v>
      </c>
      <c r="K186" s="27">
        <v>1000000</v>
      </c>
      <c r="L186" s="24">
        <v>250000</v>
      </c>
      <c r="M186" s="12" t="s">
        <v>458</v>
      </c>
      <c r="N186" s="27">
        <v>1000000</v>
      </c>
    </row>
    <row r="187" spans="1:14" ht="24.75" x14ac:dyDescent="0.25">
      <c r="A187" s="12">
        <v>57</v>
      </c>
      <c r="B187" s="12">
        <v>2025</v>
      </c>
      <c r="C187" s="6">
        <v>1</v>
      </c>
      <c r="D187" s="5">
        <v>3</v>
      </c>
      <c r="E187" s="14" t="s">
        <v>305</v>
      </c>
      <c r="F187" s="15" t="s">
        <v>416</v>
      </c>
      <c r="H187" s="12" t="s">
        <v>3</v>
      </c>
      <c r="I187" s="14" t="s">
        <v>435</v>
      </c>
      <c r="J187" s="19">
        <v>150</v>
      </c>
      <c r="K187" s="27">
        <v>617531.71</v>
      </c>
      <c r="L187" s="24">
        <v>116300</v>
      </c>
      <c r="M187" s="13" t="s">
        <v>458</v>
      </c>
      <c r="N187" s="27">
        <v>617531.71</v>
      </c>
    </row>
    <row r="188" spans="1:14" ht="33" x14ac:dyDescent="0.25">
      <c r="A188" s="12">
        <v>58</v>
      </c>
      <c r="B188" s="12">
        <v>2025</v>
      </c>
      <c r="C188" s="6">
        <v>1</v>
      </c>
      <c r="D188" s="5">
        <v>3</v>
      </c>
      <c r="E188" s="14" t="s">
        <v>306</v>
      </c>
      <c r="F188" s="15" t="s">
        <v>417</v>
      </c>
      <c r="H188" s="12" t="s">
        <v>3</v>
      </c>
      <c r="I188" s="14" t="s">
        <v>444</v>
      </c>
      <c r="J188" s="19">
        <v>120</v>
      </c>
      <c r="K188" s="27">
        <v>526402.65</v>
      </c>
      <c r="L188" s="24">
        <v>92950</v>
      </c>
      <c r="M188" s="12" t="s">
        <v>458</v>
      </c>
      <c r="N188" s="27">
        <v>526402.65</v>
      </c>
    </row>
    <row r="189" spans="1:14" ht="24.75" x14ac:dyDescent="0.25">
      <c r="A189" s="12">
        <v>59</v>
      </c>
      <c r="B189" s="12">
        <v>2025</v>
      </c>
      <c r="C189" s="6">
        <v>1</v>
      </c>
      <c r="D189" s="5">
        <v>3</v>
      </c>
      <c r="E189" s="14" t="s">
        <v>307</v>
      </c>
      <c r="F189" s="15" t="s">
        <v>418</v>
      </c>
      <c r="H189" s="12" t="s">
        <v>424</v>
      </c>
      <c r="I189" s="14" t="s">
        <v>430</v>
      </c>
      <c r="J189" s="19">
        <v>240</v>
      </c>
      <c r="K189" s="27">
        <v>999932</v>
      </c>
      <c r="L189" s="24">
        <v>250000</v>
      </c>
      <c r="M189" s="12" t="s">
        <v>458</v>
      </c>
      <c r="N189" s="27">
        <v>999932</v>
      </c>
    </row>
    <row r="190" spans="1:14" ht="24.75" x14ac:dyDescent="0.25">
      <c r="A190" s="12">
        <v>60</v>
      </c>
      <c r="B190" s="12">
        <v>2025</v>
      </c>
      <c r="C190" s="6">
        <v>1</v>
      </c>
      <c r="D190" s="5">
        <v>3</v>
      </c>
      <c r="E190" s="14" t="s">
        <v>308</v>
      </c>
      <c r="F190" s="15" t="s">
        <v>419</v>
      </c>
      <c r="H190" s="12" t="s">
        <v>424</v>
      </c>
      <c r="I190" s="14" t="s">
        <v>442</v>
      </c>
      <c r="J190" s="19">
        <v>240</v>
      </c>
      <c r="K190" s="27">
        <v>832905</v>
      </c>
      <c r="L190" s="24">
        <v>164000</v>
      </c>
      <c r="M190" s="12" t="s">
        <v>458</v>
      </c>
      <c r="N190" s="27">
        <v>832905</v>
      </c>
    </row>
    <row r="191" spans="1:14" ht="24.75" x14ac:dyDescent="0.25">
      <c r="A191" s="12">
        <v>61</v>
      </c>
      <c r="B191" s="12">
        <v>2025</v>
      </c>
      <c r="C191" s="6">
        <v>1</v>
      </c>
      <c r="D191" s="5">
        <v>1</v>
      </c>
      <c r="E191" s="14" t="s">
        <v>309</v>
      </c>
      <c r="F191" s="15" t="s">
        <v>420</v>
      </c>
      <c r="H191" s="12" t="s">
        <v>3</v>
      </c>
      <c r="I191" s="14" t="s">
        <v>428</v>
      </c>
      <c r="J191" s="19">
        <v>80</v>
      </c>
      <c r="K191" s="27">
        <v>239118.44</v>
      </c>
      <c r="L191" s="24">
        <v>46087.5</v>
      </c>
      <c r="M191" s="12" t="s">
        <v>458</v>
      </c>
      <c r="N191" s="27">
        <v>239118.44</v>
      </c>
    </row>
    <row r="192" spans="1:14" ht="24.75" x14ac:dyDescent="0.25">
      <c r="A192" s="12">
        <v>62</v>
      </c>
      <c r="B192" s="12">
        <v>2025</v>
      </c>
      <c r="C192" s="6">
        <v>1</v>
      </c>
      <c r="D192" s="5">
        <v>3</v>
      </c>
      <c r="E192" s="14" t="s">
        <v>310</v>
      </c>
      <c r="F192" s="15" t="s">
        <v>421</v>
      </c>
      <c r="H192" s="12" t="s">
        <v>3</v>
      </c>
      <c r="I192" s="14" t="s">
        <v>437</v>
      </c>
      <c r="J192" s="18"/>
      <c r="K192" s="23">
        <v>1000000</v>
      </c>
      <c r="L192" s="23">
        <v>200000</v>
      </c>
      <c r="M192" s="12" t="s">
        <v>450</v>
      </c>
      <c r="N192" s="22">
        <v>0</v>
      </c>
    </row>
    <row r="193" spans="1:14" ht="33" x14ac:dyDescent="0.25">
      <c r="A193" s="12">
        <v>63</v>
      </c>
      <c r="B193" s="12">
        <v>2025</v>
      </c>
      <c r="C193" s="6">
        <v>1</v>
      </c>
      <c r="D193" s="5">
        <v>3</v>
      </c>
      <c r="E193" s="14" t="s">
        <v>311</v>
      </c>
      <c r="F193" s="15" t="s">
        <v>422</v>
      </c>
      <c r="H193" s="12" t="s">
        <v>3</v>
      </c>
      <c r="I193" s="14" t="s">
        <v>429</v>
      </c>
      <c r="J193" s="18"/>
      <c r="K193" s="23">
        <v>1000000</v>
      </c>
      <c r="L193" s="23">
        <v>50000</v>
      </c>
      <c r="M193" s="12" t="s">
        <v>450</v>
      </c>
      <c r="N193" s="22">
        <v>0</v>
      </c>
    </row>
  </sheetData>
  <conditionalFormatting sqref="J58:K193">
    <cfRule type="containsText" dxfId="11" priority="48" operator="containsText" text="&quot;&quot;">
      <formula>NOT(ISERROR(SEARCH("""""",J58)))</formula>
    </cfRule>
  </conditionalFormatting>
  <conditionalFormatting sqref="K58">
    <cfRule type="containsText" dxfId="10" priority="50" operator="containsText" text="&quot; &quot;">
      <formula>NOT(ISERROR(SEARCH(""" """,K58)))</formula>
    </cfRule>
  </conditionalFormatting>
  <conditionalFormatting sqref="L58 L61:L62 L64 L66 L73 L82 L85:L89 L91 L109 L112:L113 L128 L130">
    <cfRule type="containsText" dxfId="9" priority="47" operator="containsText" text="&quot;&quot;">
      <formula>NOT(ISERROR(SEARCH("""""",L58)))</formula>
    </cfRule>
  </conditionalFormatting>
  <conditionalFormatting sqref="M58:M59 M61:M62 M64 M66 M68 M73:M74 M77 M82:M83 M96:M98 M104 M109 M112:M114 M128:M131 M138:M142 M145:M146 M151 M153 M155:M157 M159 M166:M167 M170:M171 M174:M176 M178 M181 M183:M186">
    <cfRule type="containsText" dxfId="8" priority="7" operator="containsText" text="NO HABILITADA">
      <formula>NOT(ISERROR(SEARCH("NO HABILITADA",M58)))</formula>
    </cfRule>
  </conditionalFormatting>
  <conditionalFormatting sqref="M60 M63 M65 M67:M72 M83:M84 M101:M103 M105:M108 M110:M111 M114:M115">
    <cfRule type="containsText" dxfId="7" priority="12" operator="containsText" text="&quot;&quot;">
      <formula>NOT(ISERROR(SEARCH("""""",M60)))</formula>
    </cfRule>
  </conditionalFormatting>
  <conditionalFormatting sqref="M74:M81">
    <cfRule type="containsText" dxfId="6" priority="11" operator="containsText" text="&quot;&quot;">
      <formula>NOT(ISERROR(SEARCH("""""",M74)))</formula>
    </cfRule>
  </conditionalFormatting>
  <conditionalFormatting sqref="M85:M91 M100 M192:M193">
    <cfRule type="containsText" dxfId="5" priority="6" operator="containsText" text="NO HABILITADA">
      <formula>NOT(ISERROR(SEARCH("NO HABILITADA",M85)))</formula>
    </cfRule>
  </conditionalFormatting>
  <conditionalFormatting sqref="M92:M99">
    <cfRule type="containsText" dxfId="4" priority="9" operator="containsText" text="&quot;&quot;">
      <formula>NOT(ISERROR(SEARCH("""""",M92)))</formula>
    </cfRule>
  </conditionalFormatting>
  <conditionalFormatting sqref="M116:M117">
    <cfRule type="containsText" dxfId="3" priority="3" operator="containsText" text="NO HABILITADA">
      <formula>NOT(ISERROR(SEARCH("NO HABILITADA",M116)))</formula>
    </cfRule>
  </conditionalFormatting>
  <conditionalFormatting sqref="M117:M191">
    <cfRule type="containsText" dxfId="2" priority="5" operator="containsText" text="&quot;&quot;">
      <formula>NOT(ISERROR(SEARCH("""""",M117)))</formula>
    </cfRule>
  </conditionalFormatting>
  <conditionalFormatting sqref="N58">
    <cfRule type="containsText" dxfId="1" priority="2" operator="containsText" text="&quot; &quot;">
      <formula>NOT(ISERROR(SEARCH(""" """,N58)))</formula>
    </cfRule>
  </conditionalFormatting>
  <conditionalFormatting sqref="N58:N193">
    <cfRule type="containsText" dxfId="0" priority="1" operator="containsText" text="&quot;&quot;">
      <formula>NOT(ISERROR(SEARCH("""""",N58)))</formula>
    </cfRule>
  </conditionalFormatting>
  <pageMargins left="0.31496062992125984" right="0.11811023622047245" top="0.35433070866141736" bottom="0.35433070866141736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7BE5-2408-44CC-8D50-B1E603EA4EB0}">
  <dimension ref="A1:A5"/>
  <sheetViews>
    <sheetView workbookViewId="0">
      <selection activeCell="A19" sqref="A19"/>
    </sheetView>
  </sheetViews>
  <sheetFormatPr baseColWidth="10" defaultRowHeight="15" x14ac:dyDescent="0.25"/>
  <cols>
    <col min="1" max="1" width="66.42578125" customWidth="1"/>
  </cols>
  <sheetData>
    <row r="1" spans="1:1" x14ac:dyDescent="0.25">
      <c r="A1" s="4" t="s">
        <v>509</v>
      </c>
    </row>
    <row r="2" spans="1:1" x14ac:dyDescent="0.25">
      <c r="A2" t="s">
        <v>510</v>
      </c>
    </row>
    <row r="3" spans="1:1" x14ac:dyDescent="0.25">
      <c r="A3" t="s">
        <v>511</v>
      </c>
    </row>
    <row r="4" spans="1:1" x14ac:dyDescent="0.25">
      <c r="A4" t="s">
        <v>513</v>
      </c>
    </row>
    <row r="5" spans="1:1" x14ac:dyDescent="0.25">
      <c r="A5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3FA9-000E-4DDA-9E10-4ABD25FDD4BC}">
  <dimension ref="A1:A4"/>
  <sheetViews>
    <sheetView workbookViewId="0">
      <selection activeCell="A4" sqref="A4"/>
    </sheetView>
  </sheetViews>
  <sheetFormatPr baseColWidth="10" defaultRowHeight="15" x14ac:dyDescent="0.25"/>
  <cols>
    <col min="1" max="1" width="66.42578125" customWidth="1"/>
  </cols>
  <sheetData>
    <row r="1" spans="1:1" x14ac:dyDescent="0.25">
      <c r="A1" s="4" t="s">
        <v>509</v>
      </c>
    </row>
    <row r="2" spans="1:1" x14ac:dyDescent="0.25">
      <c r="A2" t="s">
        <v>514</v>
      </c>
    </row>
    <row r="3" spans="1:1" x14ac:dyDescent="0.25">
      <c r="A3" t="s">
        <v>475</v>
      </c>
    </row>
    <row r="4" spans="1:1" x14ac:dyDescent="0.25">
      <c r="A4" t="s">
        <v>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D2DD-2DC7-43D1-902C-1BAB94654A77}">
  <dimension ref="A1:C7"/>
  <sheetViews>
    <sheetView workbookViewId="0">
      <selection activeCell="B2" sqref="B2"/>
    </sheetView>
  </sheetViews>
  <sheetFormatPr baseColWidth="10" defaultRowHeight="15" x14ac:dyDescent="0.25"/>
  <cols>
    <col min="2" max="2" width="52.42578125" customWidth="1"/>
    <col min="3" max="3" width="17.5703125" customWidth="1"/>
  </cols>
  <sheetData>
    <row r="1" spans="1:3" x14ac:dyDescent="0.25">
      <c r="A1" t="s">
        <v>451</v>
      </c>
      <c r="B1" t="s">
        <v>452</v>
      </c>
      <c r="C1" t="s">
        <v>453</v>
      </c>
    </row>
    <row r="2" spans="1:3" x14ac:dyDescent="0.25">
      <c r="A2">
        <v>1</v>
      </c>
      <c r="B2" t="s">
        <v>459</v>
      </c>
      <c r="C2" t="s">
        <v>454</v>
      </c>
    </row>
    <row r="3" spans="1:3" x14ac:dyDescent="0.25">
      <c r="A3">
        <v>2</v>
      </c>
      <c r="B3" t="s">
        <v>462</v>
      </c>
      <c r="C3" t="s">
        <v>454</v>
      </c>
    </row>
    <row r="4" spans="1:3" x14ac:dyDescent="0.25">
      <c r="A4">
        <v>3</v>
      </c>
      <c r="B4" t="s">
        <v>460</v>
      </c>
      <c r="C4" t="s">
        <v>455</v>
      </c>
    </row>
    <row r="5" spans="1:3" x14ac:dyDescent="0.25">
      <c r="A5">
        <v>4</v>
      </c>
      <c r="B5" t="s">
        <v>456</v>
      </c>
      <c r="C5" t="s">
        <v>454</v>
      </c>
    </row>
    <row r="6" spans="1:3" x14ac:dyDescent="0.25">
      <c r="A6">
        <v>5</v>
      </c>
      <c r="B6" t="s">
        <v>461</v>
      </c>
      <c r="C6" t="s">
        <v>457</v>
      </c>
    </row>
    <row r="7" spans="1:3" x14ac:dyDescent="0.25">
      <c r="A7">
        <v>6</v>
      </c>
      <c r="B7" t="s">
        <v>458</v>
      </c>
      <c r="C7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3B15-5290-44FC-AFE2-E02290D4923A}">
  <dimension ref="A1:C6"/>
  <sheetViews>
    <sheetView workbookViewId="0">
      <selection activeCell="C5" sqref="C5:C6"/>
    </sheetView>
  </sheetViews>
  <sheetFormatPr baseColWidth="10" defaultRowHeight="15" x14ac:dyDescent="0.25"/>
  <cols>
    <col min="2" max="2" width="46.28515625" customWidth="1"/>
    <col min="3" max="3" width="20.7109375" customWidth="1"/>
  </cols>
  <sheetData>
    <row r="1" spans="1:3" x14ac:dyDescent="0.25">
      <c r="A1" t="s">
        <v>451</v>
      </c>
      <c r="B1" t="s">
        <v>452</v>
      </c>
      <c r="C1" t="s">
        <v>453</v>
      </c>
    </row>
    <row r="2" spans="1:3" x14ac:dyDescent="0.25">
      <c r="A2">
        <v>1</v>
      </c>
      <c r="B2" s="27" t="s">
        <v>476</v>
      </c>
      <c r="C2" t="s">
        <v>480</v>
      </c>
    </row>
    <row r="3" spans="1:3" x14ac:dyDescent="0.25">
      <c r="A3">
        <v>2</v>
      </c>
      <c r="B3" s="27" t="s">
        <v>477</v>
      </c>
      <c r="C3" t="s">
        <v>480</v>
      </c>
    </row>
    <row r="4" spans="1:3" ht="30" x14ac:dyDescent="0.25">
      <c r="A4">
        <v>3</v>
      </c>
      <c r="B4" s="27" t="s">
        <v>478</v>
      </c>
      <c r="C4" t="s">
        <v>480</v>
      </c>
    </row>
    <row r="5" spans="1:3" x14ac:dyDescent="0.25">
      <c r="A5">
        <v>4</v>
      </c>
      <c r="B5" s="27" t="s">
        <v>479</v>
      </c>
      <c r="C5" t="s">
        <v>480</v>
      </c>
    </row>
    <row r="6" spans="1:3" x14ac:dyDescent="0.25">
      <c r="A6">
        <v>5</v>
      </c>
      <c r="B6" s="27" t="s">
        <v>482</v>
      </c>
      <c r="C6" t="s">
        <v>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F249-8C76-428A-BE0C-1E5DC6C18153}">
  <dimension ref="A1:C10"/>
  <sheetViews>
    <sheetView workbookViewId="0">
      <selection sqref="A1:C3"/>
    </sheetView>
  </sheetViews>
  <sheetFormatPr baseColWidth="10" defaultRowHeight="15" x14ac:dyDescent="0.25"/>
  <cols>
    <col min="2" max="2" width="49.140625" customWidth="1"/>
    <col min="3" max="3" width="18.140625" customWidth="1"/>
  </cols>
  <sheetData>
    <row r="1" spans="1:3" x14ac:dyDescent="0.25">
      <c r="A1" t="s">
        <v>451</v>
      </c>
      <c r="B1" t="s">
        <v>452</v>
      </c>
      <c r="C1" t="s">
        <v>453</v>
      </c>
    </row>
    <row r="2" spans="1:3" x14ac:dyDescent="0.25">
      <c r="A2">
        <v>1</v>
      </c>
      <c r="B2" s="39" t="s">
        <v>485</v>
      </c>
      <c r="C2" t="s">
        <v>480</v>
      </c>
    </row>
    <row r="3" spans="1:3" x14ac:dyDescent="0.25">
      <c r="A3">
        <v>2</v>
      </c>
      <c r="B3" s="39" t="s">
        <v>486</v>
      </c>
      <c r="C3" t="s">
        <v>480</v>
      </c>
    </row>
    <row r="4" spans="1:3" x14ac:dyDescent="0.25">
      <c r="A4">
        <v>3</v>
      </c>
      <c r="B4" s="39" t="s">
        <v>487</v>
      </c>
      <c r="C4" t="s">
        <v>480</v>
      </c>
    </row>
    <row r="5" spans="1:3" x14ac:dyDescent="0.25">
      <c r="A5">
        <v>4</v>
      </c>
      <c r="B5" s="39" t="s">
        <v>483</v>
      </c>
      <c r="C5" t="s">
        <v>480</v>
      </c>
    </row>
    <row r="6" spans="1:3" x14ac:dyDescent="0.25">
      <c r="A6">
        <v>5</v>
      </c>
      <c r="B6" s="39" t="s">
        <v>488</v>
      </c>
      <c r="C6" t="s">
        <v>480</v>
      </c>
    </row>
    <row r="7" spans="1:3" x14ac:dyDescent="0.25">
      <c r="A7">
        <v>6</v>
      </c>
      <c r="B7" s="39" t="s">
        <v>489</v>
      </c>
      <c r="C7" t="s">
        <v>480</v>
      </c>
    </row>
    <row r="8" spans="1:3" x14ac:dyDescent="0.25">
      <c r="A8">
        <v>7</v>
      </c>
      <c r="B8" s="39" t="s">
        <v>484</v>
      </c>
      <c r="C8" t="s">
        <v>481</v>
      </c>
    </row>
    <row r="9" spans="1:3" x14ac:dyDescent="0.25">
      <c r="A9">
        <v>8</v>
      </c>
      <c r="B9" s="39" t="s">
        <v>490</v>
      </c>
      <c r="C9" t="s">
        <v>481</v>
      </c>
    </row>
    <row r="10" spans="1:3" x14ac:dyDescent="0.25">
      <c r="A10">
        <v>9</v>
      </c>
      <c r="B10" s="39" t="s">
        <v>491</v>
      </c>
      <c r="C10" t="s">
        <v>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FC5-F042-4E41-A388-2CCA79F34721}">
  <dimension ref="A1:C3"/>
  <sheetViews>
    <sheetView workbookViewId="0">
      <selection sqref="A1:XFD3"/>
    </sheetView>
  </sheetViews>
  <sheetFormatPr baseColWidth="10" defaultRowHeight="15" x14ac:dyDescent="0.25"/>
  <cols>
    <col min="2" max="2" width="47.5703125" customWidth="1"/>
  </cols>
  <sheetData>
    <row r="1" spans="1:3" x14ac:dyDescent="0.25">
      <c r="A1" t="s">
        <v>451</v>
      </c>
      <c r="B1" t="s">
        <v>452</v>
      </c>
      <c r="C1" t="s">
        <v>453</v>
      </c>
    </row>
    <row r="2" spans="1:3" x14ac:dyDescent="0.25">
      <c r="A2">
        <v>1</v>
      </c>
      <c r="B2" s="39" t="s">
        <v>492</v>
      </c>
    </row>
    <row r="3" spans="1:3" x14ac:dyDescent="0.25">
      <c r="A3">
        <v>2</v>
      </c>
      <c r="B3" s="39" t="s">
        <v>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8A9-D1FE-4C17-A392-A90788CA4517}">
  <dimension ref="A1:C4"/>
  <sheetViews>
    <sheetView workbookViewId="0">
      <selection activeCell="B11" sqref="B11"/>
    </sheetView>
  </sheetViews>
  <sheetFormatPr baseColWidth="10" defaultRowHeight="15" x14ac:dyDescent="0.25"/>
  <cols>
    <col min="2" max="2" width="62.42578125" customWidth="1"/>
  </cols>
  <sheetData>
    <row r="1" spans="1:3" x14ac:dyDescent="0.25">
      <c r="A1" t="s">
        <v>451</v>
      </c>
      <c r="B1" t="s">
        <v>452</v>
      </c>
      <c r="C1" t="s">
        <v>453</v>
      </c>
    </row>
    <row r="2" spans="1:3" ht="30" x14ac:dyDescent="0.25">
      <c r="A2">
        <v>1</v>
      </c>
      <c r="B2" s="40" t="s">
        <v>495</v>
      </c>
    </row>
    <row r="3" spans="1:3" x14ac:dyDescent="0.25">
      <c r="A3">
        <v>2</v>
      </c>
      <c r="B3" s="40" t="s">
        <v>494</v>
      </c>
    </row>
    <row r="4" spans="1:3" x14ac:dyDescent="0.25">
      <c r="A4">
        <v>3</v>
      </c>
      <c r="B4" s="40" t="s">
        <v>496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C25A-AE5C-405C-943F-45C4632D214C}">
  <dimension ref="A1:C3"/>
  <sheetViews>
    <sheetView workbookViewId="0">
      <selection sqref="A1:B3"/>
    </sheetView>
  </sheetViews>
  <sheetFormatPr baseColWidth="10" defaultRowHeight="15" x14ac:dyDescent="0.25"/>
  <cols>
    <col min="2" max="2" width="47.5703125" customWidth="1"/>
  </cols>
  <sheetData>
    <row r="1" spans="1:3" x14ac:dyDescent="0.25">
      <c r="A1" t="s">
        <v>451</v>
      </c>
      <c r="B1" t="s">
        <v>452</v>
      </c>
      <c r="C1" t="s">
        <v>453</v>
      </c>
    </row>
    <row r="2" spans="1:3" x14ac:dyDescent="0.25">
      <c r="A2">
        <v>1</v>
      </c>
      <c r="B2" s="39" t="s">
        <v>498</v>
      </c>
    </row>
    <row r="3" spans="1:3" x14ac:dyDescent="0.25">
      <c r="A3">
        <v>2</v>
      </c>
      <c r="B3" s="39" t="s">
        <v>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43ED-D8A9-4A8D-BD51-DE7C01B688C5}">
  <dimension ref="A1:B27"/>
  <sheetViews>
    <sheetView tabSelected="1" topLeftCell="A13" workbookViewId="0">
      <selection activeCell="E24" sqref="E24"/>
    </sheetView>
  </sheetViews>
  <sheetFormatPr baseColWidth="10" defaultRowHeight="15" x14ac:dyDescent="0.25"/>
  <cols>
    <col min="2" max="2" width="34.28515625" customWidth="1"/>
  </cols>
  <sheetData>
    <row r="1" spans="1:2" x14ac:dyDescent="0.25">
      <c r="A1" t="s">
        <v>451</v>
      </c>
      <c r="B1" t="s">
        <v>452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500</v>
      </c>
    </row>
    <row r="4" spans="1:2" x14ac:dyDescent="0.25">
      <c r="A4">
        <v>3</v>
      </c>
      <c r="B4" t="s">
        <v>501</v>
      </c>
    </row>
    <row r="5" spans="1:2" x14ac:dyDescent="0.25">
      <c r="A5">
        <v>4</v>
      </c>
      <c r="B5" t="s">
        <v>104</v>
      </c>
    </row>
    <row r="6" spans="1:2" x14ac:dyDescent="0.25">
      <c r="A6">
        <v>5</v>
      </c>
      <c r="B6" t="s">
        <v>38</v>
      </c>
    </row>
    <row r="7" spans="1:2" x14ac:dyDescent="0.25">
      <c r="A7">
        <v>6</v>
      </c>
      <c r="B7" t="s">
        <v>42</v>
      </c>
    </row>
    <row r="8" spans="1:2" x14ac:dyDescent="0.25">
      <c r="A8">
        <v>7</v>
      </c>
      <c r="B8" t="s">
        <v>502</v>
      </c>
    </row>
    <row r="9" spans="1:2" x14ac:dyDescent="0.25">
      <c r="A9">
        <v>8</v>
      </c>
      <c r="B9" t="s">
        <v>19</v>
      </c>
    </row>
    <row r="10" spans="1:2" x14ac:dyDescent="0.25">
      <c r="A10">
        <v>9</v>
      </c>
      <c r="B10" t="s">
        <v>27</v>
      </c>
    </row>
    <row r="11" spans="1:2" x14ac:dyDescent="0.25">
      <c r="A11">
        <v>10</v>
      </c>
      <c r="B11" t="s">
        <v>503</v>
      </c>
    </row>
    <row r="12" spans="1:2" x14ac:dyDescent="0.25">
      <c r="A12">
        <v>11</v>
      </c>
      <c r="B12" t="s">
        <v>130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134</v>
      </c>
    </row>
    <row r="15" spans="1:2" x14ac:dyDescent="0.25">
      <c r="A15">
        <v>14</v>
      </c>
      <c r="B15" t="s">
        <v>64</v>
      </c>
    </row>
    <row r="16" spans="1:2" x14ac:dyDescent="0.25">
      <c r="A16">
        <v>15</v>
      </c>
      <c r="B16" t="s">
        <v>4</v>
      </c>
    </row>
    <row r="17" spans="1:2" x14ac:dyDescent="0.25">
      <c r="A17">
        <v>16</v>
      </c>
      <c r="B17" t="s">
        <v>504</v>
      </c>
    </row>
    <row r="18" spans="1:2" x14ac:dyDescent="0.25">
      <c r="A18">
        <v>17</v>
      </c>
      <c r="B18" t="s">
        <v>114</v>
      </c>
    </row>
    <row r="19" spans="1:2" x14ac:dyDescent="0.25">
      <c r="A19">
        <v>18</v>
      </c>
      <c r="B19" t="s">
        <v>81</v>
      </c>
    </row>
    <row r="20" spans="1:2" x14ac:dyDescent="0.25">
      <c r="A20">
        <v>19</v>
      </c>
      <c r="B20" t="s">
        <v>505</v>
      </c>
    </row>
    <row r="21" spans="1:2" x14ac:dyDescent="0.25">
      <c r="A21">
        <v>20</v>
      </c>
      <c r="B21" t="s">
        <v>23</v>
      </c>
    </row>
    <row r="22" spans="1:2" x14ac:dyDescent="0.25">
      <c r="A22">
        <v>21</v>
      </c>
      <c r="B22" t="s">
        <v>95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506</v>
      </c>
    </row>
    <row r="25" spans="1:2" x14ac:dyDescent="0.25">
      <c r="A25">
        <v>24</v>
      </c>
      <c r="B25" t="s">
        <v>507</v>
      </c>
    </row>
    <row r="26" spans="1:2" x14ac:dyDescent="0.25">
      <c r="A26">
        <v>25</v>
      </c>
      <c r="B26" t="s">
        <v>508</v>
      </c>
    </row>
    <row r="27" spans="1:2" x14ac:dyDescent="0.25">
      <c r="A27">
        <v>26</v>
      </c>
      <c r="B2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proyecto_servicio</vt:lpstr>
      <vt:lpstr>institución ejecutora</vt:lpstr>
      <vt:lpstr>avance</vt:lpstr>
      <vt:lpstr>etapa</vt:lpstr>
      <vt:lpstr>eje</vt:lpstr>
      <vt:lpstr>linea</vt:lpstr>
      <vt:lpstr>modalidad</vt:lpstr>
      <vt:lpstr>beneficiarios</vt:lpstr>
      <vt:lpstr>modalidad de ejecución</vt:lpstr>
      <vt:lpstr>región</vt:lpstr>
      <vt:lpstr>proyecto_servicio!Área_de_impresión</vt:lpstr>
      <vt:lpstr>proyecto_servicio!Títulos_a_imprimir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Rizabal Flores</dc:creator>
  <cp:lastModifiedBy>REUNION 2</cp:lastModifiedBy>
  <cp:lastPrinted>2026-01-06T18:21:21Z</cp:lastPrinted>
  <dcterms:created xsi:type="dcterms:W3CDTF">2026-01-06T18:12:25Z</dcterms:created>
  <dcterms:modified xsi:type="dcterms:W3CDTF">2026-02-02T22:34:43Z</dcterms:modified>
</cp:coreProperties>
</file>