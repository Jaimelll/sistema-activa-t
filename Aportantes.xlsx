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duran\Desktop\Aportantes\"/>
    </mc:Choice>
  </mc:AlternateContent>
  <xr:revisionPtr revIDLastSave="0" documentId="13_ncr:1_{21B38613-07E9-4028-B564-3DF62475D605}" xr6:coauthVersionLast="47" xr6:coauthVersionMax="47" xr10:uidLastSave="{00000000-0000-0000-0000-000000000000}"/>
  <bookViews>
    <workbookView xWindow="-108" yWindow="-108" windowWidth="23256" windowHeight="13896" xr2:uid="{0EFDD0B3-E511-41FA-89EE-E187A3F8CD83}"/>
  </bookViews>
  <sheets>
    <sheet name="DATA CON RAZON SOCIAL VIGENTE" sheetId="2" r:id="rId1"/>
  </sheets>
  <definedNames>
    <definedName name="_xlnm._FilterDatabase" localSheetId="0" hidden="1">'DATA CON RAZON SOCIAL VIGENTE'!$A$1:$P$606</definedName>
    <definedName name="costo2">#REF!</definedName>
    <definedName name="COSTOU">#REF!</definedName>
    <definedName name="FBUD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6" i="2" l="1"/>
  <c r="K136" i="2"/>
  <c r="H136" i="2" s="1"/>
  <c r="J136" i="2" s="1"/>
  <c r="G136" i="2"/>
  <c r="O451" i="2"/>
  <c r="K451" i="2"/>
  <c r="H451" i="2" s="1"/>
  <c r="J451" i="2" s="1"/>
  <c r="G451" i="2"/>
  <c r="O527" i="2"/>
  <c r="K527" i="2"/>
  <c r="H527" i="2" s="1"/>
  <c r="J527" i="2" s="1"/>
  <c r="G527" i="2"/>
  <c r="O338" i="2"/>
  <c r="K338" i="2"/>
  <c r="H338" i="2" s="1"/>
  <c r="J338" i="2" s="1"/>
  <c r="G338" i="2"/>
  <c r="O363" i="2"/>
  <c r="K363" i="2"/>
  <c r="H363" i="2" s="1"/>
  <c r="J363" i="2" s="1"/>
  <c r="G363" i="2"/>
  <c r="O108" i="2"/>
  <c r="K108" i="2"/>
  <c r="H108" i="2" s="1"/>
  <c r="J108" i="2" s="1"/>
  <c r="G108" i="2"/>
  <c r="O568" i="2"/>
  <c r="K568" i="2"/>
  <c r="H568" i="2" s="1"/>
  <c r="J568" i="2" s="1"/>
  <c r="G568" i="2"/>
  <c r="O241" i="2"/>
  <c r="K241" i="2"/>
  <c r="H241" i="2" s="1"/>
  <c r="J241" i="2" s="1"/>
  <c r="G241" i="2"/>
  <c r="O523" i="2"/>
  <c r="K523" i="2"/>
  <c r="H523" i="2" s="1"/>
  <c r="J523" i="2" s="1"/>
  <c r="G523" i="2"/>
  <c r="O487" i="2"/>
  <c r="J487" i="2"/>
  <c r="O434" i="2"/>
  <c r="K434" i="2"/>
  <c r="H434" i="2" s="1"/>
  <c r="J434" i="2" s="1"/>
  <c r="G434" i="2"/>
  <c r="O583" i="2"/>
  <c r="K583" i="2"/>
  <c r="H583" i="2" s="1"/>
  <c r="J583" i="2" s="1"/>
  <c r="G583" i="2"/>
  <c r="O315" i="2"/>
  <c r="K315" i="2"/>
  <c r="H315" i="2" s="1"/>
  <c r="J315" i="2" s="1"/>
  <c r="G315" i="2"/>
  <c r="O314" i="2"/>
  <c r="K314" i="2"/>
  <c r="H314" i="2" s="1"/>
  <c r="J314" i="2" s="1"/>
  <c r="G314" i="2"/>
  <c r="O313" i="2"/>
  <c r="K313" i="2"/>
  <c r="H313" i="2" s="1"/>
  <c r="J313" i="2" s="1"/>
  <c r="G313" i="2"/>
  <c r="O40" i="2"/>
  <c r="K40" i="2"/>
  <c r="H40" i="2" s="1"/>
  <c r="J40" i="2" s="1"/>
  <c r="G40" i="2"/>
  <c r="O361" i="2"/>
  <c r="K361" i="2"/>
  <c r="H361" i="2" s="1"/>
  <c r="J361" i="2" s="1"/>
  <c r="G361" i="2"/>
  <c r="O552" i="2"/>
  <c r="K552" i="2"/>
  <c r="H552" i="2" s="1"/>
  <c r="J552" i="2" s="1"/>
  <c r="G552" i="2"/>
  <c r="O310" i="2"/>
  <c r="K310" i="2"/>
  <c r="H310" i="2" s="1"/>
  <c r="J310" i="2" s="1"/>
  <c r="G310" i="2"/>
  <c r="O565" i="2"/>
  <c r="K565" i="2"/>
  <c r="H565" i="2" s="1"/>
  <c r="J565" i="2" s="1"/>
  <c r="G565" i="2"/>
  <c r="O587" i="2"/>
  <c r="K587" i="2"/>
  <c r="H587" i="2" s="1"/>
  <c r="J587" i="2" s="1"/>
  <c r="G587" i="2"/>
  <c r="O561" i="2"/>
  <c r="K561" i="2"/>
  <c r="H561" i="2" s="1"/>
  <c r="J561" i="2" s="1"/>
  <c r="G561" i="2"/>
  <c r="O374" i="2"/>
  <c r="K374" i="2"/>
  <c r="H374" i="2" s="1"/>
  <c r="J374" i="2" s="1"/>
  <c r="G374" i="2"/>
  <c r="O88" i="2"/>
  <c r="K88" i="2"/>
  <c r="H88" i="2" s="1"/>
  <c r="J88" i="2" s="1"/>
  <c r="G88" i="2"/>
  <c r="O165" i="2"/>
  <c r="K165" i="2"/>
  <c r="H165" i="2" s="1"/>
  <c r="J165" i="2" s="1"/>
  <c r="G165" i="2"/>
  <c r="O194" i="2"/>
  <c r="K194" i="2"/>
  <c r="H194" i="2" s="1"/>
  <c r="J194" i="2" s="1"/>
  <c r="G194" i="2"/>
  <c r="O79" i="2"/>
  <c r="J79" i="2"/>
  <c r="O598" i="2"/>
  <c r="K598" i="2"/>
  <c r="H598" i="2" s="1"/>
  <c r="J598" i="2" s="1"/>
  <c r="G598" i="2"/>
  <c r="O172" i="2"/>
  <c r="K172" i="2"/>
  <c r="H172" i="2" s="1"/>
  <c r="J172" i="2" s="1"/>
  <c r="G172" i="2"/>
  <c r="O463" i="2"/>
  <c r="K463" i="2"/>
  <c r="H463" i="2" s="1"/>
  <c r="J463" i="2" s="1"/>
  <c r="G463" i="2"/>
  <c r="G485" i="2"/>
  <c r="O419" i="2"/>
  <c r="K419" i="2"/>
  <c r="H419" i="2" s="1"/>
  <c r="J419" i="2" s="1"/>
  <c r="G419" i="2"/>
  <c r="O572" i="2"/>
  <c r="K572" i="2"/>
  <c r="H572" i="2" s="1"/>
  <c r="J572" i="2" s="1"/>
  <c r="G572" i="2"/>
  <c r="O447" i="2"/>
  <c r="K447" i="2"/>
  <c r="H447" i="2" s="1"/>
  <c r="J447" i="2" s="1"/>
  <c r="G447" i="2"/>
  <c r="O393" i="2"/>
  <c r="K393" i="2"/>
  <c r="H393" i="2" s="1"/>
  <c r="J393" i="2" s="1"/>
  <c r="G393" i="2"/>
  <c r="O323" i="2"/>
  <c r="K323" i="2"/>
  <c r="H323" i="2" s="1"/>
  <c r="J323" i="2" s="1"/>
  <c r="G323" i="2"/>
  <c r="O227" i="2"/>
  <c r="K227" i="2"/>
  <c r="H227" i="2" s="1"/>
  <c r="J227" i="2" s="1"/>
  <c r="G227" i="2"/>
  <c r="O505" i="2"/>
  <c r="K505" i="2"/>
  <c r="H505" i="2" s="1"/>
  <c r="J505" i="2" s="1"/>
  <c r="G505" i="2"/>
  <c r="O548" i="2"/>
  <c r="K548" i="2"/>
  <c r="H548" i="2" s="1"/>
  <c r="J548" i="2" s="1"/>
  <c r="G548" i="2"/>
  <c r="O349" i="2"/>
  <c r="K349" i="2"/>
  <c r="H349" i="2" s="1"/>
  <c r="J349" i="2" s="1"/>
  <c r="G349" i="2"/>
  <c r="O582" i="2"/>
  <c r="K582" i="2"/>
  <c r="H582" i="2" s="1"/>
  <c r="J582" i="2" s="1"/>
  <c r="G582" i="2"/>
  <c r="O526" i="2"/>
  <c r="K526" i="2"/>
  <c r="H526" i="2" s="1"/>
  <c r="J526" i="2" s="1"/>
  <c r="G526" i="2"/>
  <c r="O577" i="2"/>
  <c r="K577" i="2"/>
  <c r="H577" i="2" s="1"/>
  <c r="J577" i="2" s="1"/>
  <c r="G577" i="2"/>
  <c r="O337" i="2"/>
  <c r="K337" i="2"/>
  <c r="H337" i="2" s="1"/>
  <c r="J337" i="2" s="1"/>
  <c r="G337" i="2"/>
  <c r="O39" i="2"/>
  <c r="K39" i="2"/>
  <c r="H39" i="2" s="1"/>
  <c r="J39" i="2" s="1"/>
  <c r="G39" i="2"/>
  <c r="O446" i="2"/>
  <c r="K446" i="2"/>
  <c r="H446" i="2" s="1"/>
  <c r="J446" i="2" s="1"/>
  <c r="G446" i="2"/>
  <c r="O362" i="2"/>
  <c r="K362" i="2"/>
  <c r="H362" i="2" s="1"/>
  <c r="J362" i="2" s="1"/>
  <c r="G362" i="2"/>
  <c r="O560" i="2"/>
  <c r="K560" i="2"/>
  <c r="H560" i="2" s="1"/>
  <c r="J560" i="2" s="1"/>
  <c r="G560" i="2"/>
  <c r="O257" i="2"/>
  <c r="K257" i="2"/>
  <c r="H257" i="2" s="1"/>
  <c r="J257" i="2" s="1"/>
  <c r="G257" i="2"/>
  <c r="O486" i="2"/>
  <c r="J486" i="2"/>
  <c r="O450" i="2"/>
  <c r="K450" i="2"/>
  <c r="H450" i="2" s="1"/>
  <c r="J450" i="2" s="1"/>
  <c r="G450" i="2"/>
  <c r="O171" i="2"/>
  <c r="K171" i="2"/>
  <c r="H171" i="2" s="1"/>
  <c r="J171" i="2" s="1"/>
  <c r="G171" i="2"/>
  <c r="O433" i="2"/>
  <c r="K433" i="2"/>
  <c r="H433" i="2" s="1"/>
  <c r="J433" i="2" s="1"/>
  <c r="G433" i="2"/>
  <c r="O467" i="2"/>
  <c r="J467" i="2"/>
  <c r="G467" i="2"/>
  <c r="O272" i="2"/>
  <c r="K272" i="2"/>
  <c r="H272" i="2" s="1"/>
  <c r="J272" i="2" s="1"/>
  <c r="G272" i="2"/>
  <c r="O355" i="2"/>
  <c r="K355" i="2"/>
  <c r="H355" i="2" s="1"/>
  <c r="J355" i="2" s="1"/>
  <c r="G355" i="2"/>
  <c r="O392" i="2"/>
  <c r="K392" i="2"/>
  <c r="H392" i="2" s="1"/>
  <c r="J392" i="2" s="1"/>
  <c r="G392" i="2"/>
  <c r="O522" i="2"/>
  <c r="K522" i="2"/>
  <c r="H522" i="2" s="1"/>
  <c r="J522" i="2" s="1"/>
  <c r="G522" i="2"/>
  <c r="O539" i="2"/>
  <c r="K539" i="2"/>
  <c r="H539" i="2" s="1"/>
  <c r="J539" i="2" s="1"/>
  <c r="G539" i="2"/>
  <c r="O240" i="2"/>
  <c r="K240" i="2"/>
  <c r="H240" i="2" s="1"/>
  <c r="J240" i="2" s="1"/>
  <c r="G240" i="2"/>
  <c r="O312" i="2"/>
  <c r="K312" i="2"/>
  <c r="H312" i="2" s="1"/>
  <c r="J312" i="2" s="1"/>
  <c r="G312" i="2"/>
  <c r="O481" i="2"/>
  <c r="J481" i="2"/>
  <c r="G481" i="2"/>
  <c r="O156" i="2"/>
  <c r="K156" i="2"/>
  <c r="H156" i="2" s="1"/>
  <c r="J156" i="2" s="1"/>
  <c r="G156" i="2"/>
  <c r="O78" i="2"/>
  <c r="J78" i="2"/>
  <c r="O274" i="2"/>
  <c r="K274" i="2"/>
  <c r="H274" i="2" s="1"/>
  <c r="J274" i="2" s="1"/>
  <c r="G274" i="2"/>
  <c r="O185" i="2"/>
  <c r="K185" i="2"/>
  <c r="H185" i="2" s="1"/>
  <c r="J185" i="2" s="1"/>
  <c r="G185" i="2"/>
  <c r="O87" i="2"/>
  <c r="K87" i="2"/>
  <c r="H87" i="2" s="1"/>
  <c r="J87" i="2" s="1"/>
  <c r="G87" i="2"/>
  <c r="O571" i="2"/>
  <c r="K571" i="2"/>
  <c r="H571" i="2" s="1"/>
  <c r="J571" i="2" s="1"/>
  <c r="G571" i="2"/>
  <c r="O418" i="2"/>
  <c r="K418" i="2"/>
  <c r="H418" i="2" s="1"/>
  <c r="J418" i="2" s="1"/>
  <c r="G418" i="2"/>
  <c r="O504" i="2"/>
  <c r="K504" i="2"/>
  <c r="H504" i="2" s="1"/>
  <c r="J504" i="2" s="1"/>
  <c r="G504" i="2"/>
  <c r="O547" i="2"/>
  <c r="K547" i="2"/>
  <c r="H547" i="2" s="1"/>
  <c r="J547" i="2" s="1"/>
  <c r="G547" i="2"/>
  <c r="O322" i="2"/>
  <c r="K322" i="2"/>
  <c r="H322" i="2" s="1"/>
  <c r="J322" i="2" s="1"/>
  <c r="G322" i="2"/>
  <c r="O567" i="2"/>
  <c r="K567" i="2"/>
  <c r="H567" i="2" s="1"/>
  <c r="J567" i="2" s="1"/>
  <c r="G567" i="2"/>
  <c r="O590" i="2"/>
  <c r="K590" i="2"/>
  <c r="H590" i="2" s="1"/>
  <c r="J590" i="2" s="1"/>
  <c r="G590" i="2"/>
  <c r="O448" i="2"/>
  <c r="O60" i="2"/>
  <c r="K60" i="2"/>
  <c r="H60" i="2" s="1"/>
  <c r="J60" i="2" s="1"/>
  <c r="G60" i="2"/>
  <c r="O128" i="2"/>
  <c r="K128" i="2"/>
  <c r="H128" i="2" s="1"/>
  <c r="J128" i="2" s="1"/>
  <c r="G128" i="2"/>
  <c r="O336" i="2"/>
  <c r="K336" i="2"/>
  <c r="H336" i="2" s="1"/>
  <c r="J336" i="2" s="1"/>
  <c r="G336" i="2"/>
  <c r="O531" i="2"/>
  <c r="K531" i="2"/>
  <c r="H531" i="2" s="1"/>
  <c r="J531" i="2" s="1"/>
  <c r="G531" i="2"/>
  <c r="O345" i="2"/>
  <c r="J345" i="2"/>
  <c r="G345" i="2"/>
  <c r="O432" i="2"/>
  <c r="K432" i="2"/>
  <c r="H432" i="2" s="1"/>
  <c r="J432" i="2" s="1"/>
  <c r="G432" i="2"/>
  <c r="O456" i="2"/>
  <c r="K456" i="2"/>
  <c r="H456" i="2" s="1"/>
  <c r="J456" i="2" s="1"/>
  <c r="G456" i="2"/>
  <c r="O566" i="2"/>
  <c r="K566" i="2"/>
  <c r="H566" i="2" s="1"/>
  <c r="J566" i="2" s="1"/>
  <c r="G566" i="2"/>
  <c r="O170" i="2"/>
  <c r="K170" i="2"/>
  <c r="H170" i="2" s="1"/>
  <c r="J170" i="2" s="1"/>
  <c r="G170" i="2"/>
  <c r="O38" i="2"/>
  <c r="K38" i="2"/>
  <c r="H38" i="2" s="1"/>
  <c r="J38" i="2" s="1"/>
  <c r="G38" i="2"/>
  <c r="O226" i="2"/>
  <c r="K226" i="2"/>
  <c r="H226" i="2" s="1"/>
  <c r="J226" i="2" s="1"/>
  <c r="G226" i="2"/>
  <c r="O184" i="2"/>
  <c r="K184" i="2"/>
  <c r="H184" i="2" s="1"/>
  <c r="J184" i="2" s="1"/>
  <c r="G184" i="2"/>
  <c r="O331" i="2"/>
  <c r="J331" i="2"/>
  <c r="G331" i="2"/>
  <c r="O445" i="2"/>
  <c r="K445" i="2"/>
  <c r="H445" i="2" s="1"/>
  <c r="J445" i="2" s="1"/>
  <c r="G445" i="2"/>
  <c r="O193" i="2"/>
  <c r="K193" i="2"/>
  <c r="H193" i="2" s="1"/>
  <c r="J193" i="2" s="1"/>
  <c r="G193" i="2"/>
  <c r="O360" i="2"/>
  <c r="K360" i="2"/>
  <c r="H360" i="2" s="1"/>
  <c r="J360" i="2" s="1"/>
  <c r="G360" i="2"/>
  <c r="O521" i="2"/>
  <c r="K521" i="2"/>
  <c r="H521" i="2" s="1"/>
  <c r="J521" i="2" s="1"/>
  <c r="G521" i="2"/>
  <c r="O564" i="2"/>
  <c r="K564" i="2"/>
  <c r="H564" i="2" s="1"/>
  <c r="J564" i="2" s="1"/>
  <c r="G564" i="2"/>
  <c r="O559" i="2"/>
  <c r="K559" i="2"/>
  <c r="H559" i="2" s="1"/>
  <c r="J559" i="2" s="1"/>
  <c r="G559" i="2"/>
  <c r="O311" i="2"/>
  <c r="K311" i="2"/>
  <c r="H311" i="2" s="1"/>
  <c r="J311" i="2" s="1"/>
  <c r="G311" i="2"/>
  <c r="O155" i="2"/>
  <c r="K155" i="2"/>
  <c r="H155" i="2" s="1"/>
  <c r="J155" i="2" s="1"/>
  <c r="G155" i="2"/>
  <c r="O551" i="2"/>
  <c r="K551" i="2"/>
  <c r="H551" i="2" s="1"/>
  <c r="J551" i="2" s="1"/>
  <c r="G551" i="2"/>
  <c r="O354" i="2"/>
  <c r="K354" i="2"/>
  <c r="H354" i="2" s="1"/>
  <c r="J354" i="2" s="1"/>
  <c r="G354" i="2"/>
  <c r="O86" i="2"/>
  <c r="K86" i="2"/>
  <c r="H86" i="2" s="1"/>
  <c r="J86" i="2" s="1"/>
  <c r="G86" i="2"/>
  <c r="O271" i="2"/>
  <c r="K271" i="2"/>
  <c r="H271" i="2" s="1"/>
  <c r="J271" i="2" s="1"/>
  <c r="G271" i="2"/>
  <c r="O245" i="2"/>
  <c r="K245" i="2"/>
  <c r="H245" i="2" s="1"/>
  <c r="J245" i="2" s="1"/>
  <c r="G245" i="2"/>
  <c r="O593" i="2"/>
  <c r="K593" i="2"/>
  <c r="H593" i="2" s="1"/>
  <c r="J593" i="2" s="1"/>
  <c r="G593" i="2"/>
  <c r="O597" i="2"/>
  <c r="K597" i="2"/>
  <c r="H597" i="2" s="1"/>
  <c r="J597" i="2" s="1"/>
  <c r="G597" i="2"/>
  <c r="O321" i="2"/>
  <c r="K321" i="2"/>
  <c r="H321" i="2" s="1"/>
  <c r="J321" i="2" s="1"/>
  <c r="G321" i="2"/>
  <c r="O440" i="2"/>
  <c r="K440" i="2"/>
  <c r="H440" i="2" s="1"/>
  <c r="J440" i="2" s="1"/>
  <c r="G440" i="2"/>
  <c r="O503" i="2"/>
  <c r="K503" i="2"/>
  <c r="H503" i="2" s="1"/>
  <c r="J503" i="2" s="1"/>
  <c r="G503" i="2"/>
  <c r="O391" i="2"/>
  <c r="K391" i="2"/>
  <c r="H391" i="2" s="1"/>
  <c r="J391" i="2" s="1"/>
  <c r="G391" i="2"/>
  <c r="O417" i="2"/>
  <c r="K417" i="2"/>
  <c r="H417" i="2" s="1"/>
  <c r="J417" i="2" s="1"/>
  <c r="G417" i="2"/>
  <c r="O525" i="2"/>
  <c r="K525" i="2"/>
  <c r="H525" i="2" s="1"/>
  <c r="J525" i="2" s="1"/>
  <c r="G525" i="2"/>
  <c r="O546" i="2"/>
  <c r="K546" i="2"/>
  <c r="H546" i="2" s="1"/>
  <c r="J546" i="2" s="1"/>
  <c r="G546" i="2"/>
  <c r="O484" i="2"/>
  <c r="J484" i="2"/>
  <c r="G484" i="2"/>
  <c r="O573" i="2"/>
  <c r="J573" i="2"/>
  <c r="G573" i="2"/>
  <c r="O436" i="2"/>
  <c r="K436" i="2"/>
  <c r="H436" i="2" s="1"/>
  <c r="J436" i="2" s="1"/>
  <c r="G436" i="2"/>
  <c r="O466" i="2"/>
  <c r="K466" i="2"/>
  <c r="H466" i="2" s="1"/>
  <c r="J466" i="2" s="1"/>
  <c r="G466" i="2"/>
  <c r="O295" i="2"/>
  <c r="K295" i="2"/>
  <c r="H295" i="2" s="1"/>
  <c r="J295" i="2" s="1"/>
  <c r="G295" i="2"/>
  <c r="O204" i="2"/>
  <c r="K204" i="2"/>
  <c r="H204" i="2" s="1"/>
  <c r="J204" i="2" s="1"/>
  <c r="G204" i="2"/>
  <c r="O530" i="2"/>
  <c r="K530" i="2"/>
  <c r="H530" i="2" s="1"/>
  <c r="J530" i="2" s="1"/>
  <c r="G530" i="2"/>
  <c r="O536" i="2"/>
  <c r="K536" i="2"/>
  <c r="H536" i="2" s="1"/>
  <c r="J536" i="2" s="1"/>
  <c r="G536" i="2"/>
  <c r="O488" i="2"/>
  <c r="K488" i="2"/>
  <c r="H488" i="2" s="1"/>
  <c r="J488" i="2" s="1"/>
  <c r="G488" i="2"/>
  <c r="O48" i="2"/>
  <c r="K48" i="2"/>
  <c r="H48" i="2" s="1"/>
  <c r="J48" i="2" s="1"/>
  <c r="G48" i="2"/>
  <c r="O596" i="2"/>
  <c r="K596" i="2"/>
  <c r="H596" i="2" s="1"/>
  <c r="J596" i="2" s="1"/>
  <c r="G596" i="2"/>
  <c r="O59" i="2"/>
  <c r="K59" i="2"/>
  <c r="H59" i="2" s="1"/>
  <c r="J59" i="2" s="1"/>
  <c r="G59" i="2"/>
  <c r="O267" i="2"/>
  <c r="K267" i="2"/>
  <c r="H267" i="2" s="1"/>
  <c r="J267" i="2" s="1"/>
  <c r="G267" i="2"/>
  <c r="O449" i="2"/>
  <c r="J449" i="2"/>
  <c r="G449" i="2"/>
  <c r="O465" i="2"/>
  <c r="K465" i="2"/>
  <c r="H465" i="2" s="1"/>
  <c r="J465" i="2" s="1"/>
  <c r="G465" i="2"/>
  <c r="O169" i="2"/>
  <c r="K169" i="2"/>
  <c r="H169" i="2" s="1"/>
  <c r="J169" i="2" s="1"/>
  <c r="G169" i="2"/>
  <c r="O166" i="2"/>
  <c r="K166" i="2"/>
  <c r="H166" i="2" s="1"/>
  <c r="J166" i="2" s="1"/>
  <c r="G166" i="2"/>
  <c r="O58" i="2"/>
  <c r="K58" i="2"/>
  <c r="H58" i="2" s="1"/>
  <c r="J58" i="2" s="1"/>
  <c r="G58" i="2"/>
  <c r="O270" i="2"/>
  <c r="K270" i="2"/>
  <c r="H270" i="2" s="1"/>
  <c r="J270" i="2" s="1"/>
  <c r="G270" i="2"/>
  <c r="O592" i="2"/>
  <c r="K592" i="2"/>
  <c r="H592" i="2" s="1"/>
  <c r="J592" i="2" s="1"/>
  <c r="G592" i="2"/>
  <c r="O558" i="2"/>
  <c r="K558" i="2"/>
  <c r="H558" i="2" s="1"/>
  <c r="J558" i="2" s="1"/>
  <c r="G558" i="2"/>
  <c r="O335" i="2"/>
  <c r="K335" i="2"/>
  <c r="H335" i="2" s="1"/>
  <c r="J335" i="2" s="1"/>
  <c r="G335" i="2"/>
  <c r="O37" i="2"/>
  <c r="K37" i="2"/>
  <c r="H37" i="2" s="1"/>
  <c r="J37" i="2" s="1"/>
  <c r="G37" i="2"/>
  <c r="O135" i="2"/>
  <c r="K135" i="2"/>
  <c r="H135" i="2" s="1"/>
  <c r="J135" i="2" s="1"/>
  <c r="G135" i="2"/>
  <c r="O431" i="2"/>
  <c r="K431" i="2"/>
  <c r="H431" i="2" s="1"/>
  <c r="J431" i="2" s="1"/>
  <c r="G431" i="2"/>
  <c r="O192" i="2"/>
  <c r="K192" i="2"/>
  <c r="H192" i="2" s="1"/>
  <c r="J192" i="2" s="1"/>
  <c r="G192" i="2"/>
  <c r="O589" i="2"/>
  <c r="K589" i="2"/>
  <c r="H589" i="2" s="1"/>
  <c r="J589" i="2" s="1"/>
  <c r="G589" i="2"/>
  <c r="O576" i="2"/>
  <c r="K576" i="2"/>
  <c r="H576" i="2" s="1"/>
  <c r="J576" i="2" s="1"/>
  <c r="G576" i="2"/>
  <c r="O330" i="2"/>
  <c r="K330" i="2"/>
  <c r="H330" i="2" s="1"/>
  <c r="J330" i="2" s="1"/>
  <c r="G330" i="2"/>
  <c r="O502" i="2"/>
  <c r="K502" i="2"/>
  <c r="H502" i="2" s="1"/>
  <c r="J502" i="2" s="1"/>
  <c r="G502" i="2"/>
  <c r="O127" i="2"/>
  <c r="K127" i="2"/>
  <c r="H127" i="2" s="1"/>
  <c r="J127" i="2" s="1"/>
  <c r="G127" i="2"/>
  <c r="O540" i="2"/>
  <c r="K540" i="2"/>
  <c r="H540" i="2" s="1"/>
  <c r="J540" i="2" s="1"/>
  <c r="G540" i="2"/>
  <c r="O444" i="2"/>
  <c r="K444" i="2"/>
  <c r="H444" i="2" s="1"/>
  <c r="J444" i="2" s="1"/>
  <c r="G444" i="2"/>
  <c r="O77" i="2"/>
  <c r="K77" i="2"/>
  <c r="H77" i="2" s="1"/>
  <c r="J77" i="2" s="1"/>
  <c r="G77" i="2"/>
  <c r="O359" i="2"/>
  <c r="K359" i="2"/>
  <c r="H359" i="2" s="1"/>
  <c r="J359" i="2" s="1"/>
  <c r="G359" i="2"/>
  <c r="O550" i="2"/>
  <c r="K550" i="2"/>
  <c r="H550" i="2" s="1"/>
  <c r="J550" i="2" s="1"/>
  <c r="G550" i="2"/>
  <c r="O107" i="2"/>
  <c r="K107" i="2"/>
  <c r="H107" i="2" s="1"/>
  <c r="J107" i="2" s="1"/>
  <c r="G107" i="2"/>
  <c r="O480" i="2"/>
  <c r="K480" i="2"/>
  <c r="H480" i="2" s="1"/>
  <c r="J480" i="2" s="1"/>
  <c r="G480" i="2"/>
  <c r="O390" i="2"/>
  <c r="K390" i="2"/>
  <c r="H390" i="2" s="1"/>
  <c r="J390" i="2" s="1"/>
  <c r="G390" i="2"/>
  <c r="O85" i="2"/>
  <c r="K85" i="2"/>
  <c r="H85" i="2" s="1"/>
  <c r="J85" i="2" s="1"/>
  <c r="G85" i="2"/>
  <c r="O516" i="2"/>
  <c r="K516" i="2"/>
  <c r="H516" i="2" s="1"/>
  <c r="J516" i="2" s="1"/>
  <c r="G516" i="2"/>
  <c r="O437" i="2"/>
  <c r="K437" i="2"/>
  <c r="H437" i="2" s="1"/>
  <c r="J437" i="2" s="1"/>
  <c r="G437" i="2"/>
  <c r="O462" i="2"/>
  <c r="K462" i="2"/>
  <c r="H462" i="2" s="1"/>
  <c r="J462" i="2" s="1"/>
  <c r="G462" i="2"/>
  <c r="O154" i="2"/>
  <c r="K154" i="2"/>
  <c r="H154" i="2" s="1"/>
  <c r="J154" i="2" s="1"/>
  <c r="G154" i="2"/>
  <c r="O524" i="2"/>
  <c r="K524" i="2"/>
  <c r="H524" i="2" s="1"/>
  <c r="J524" i="2" s="1"/>
  <c r="G524" i="2"/>
  <c r="O563" i="2"/>
  <c r="K563" i="2"/>
  <c r="H563" i="2" s="1"/>
  <c r="J563" i="2" s="1"/>
  <c r="G563" i="2"/>
  <c r="O483" i="2"/>
  <c r="K483" i="2"/>
  <c r="H483" i="2" s="1"/>
  <c r="J483" i="2" s="1"/>
  <c r="G483" i="2"/>
  <c r="O273" i="2"/>
  <c r="K273" i="2"/>
  <c r="H273" i="2" s="1"/>
  <c r="J273" i="2" s="1"/>
  <c r="G273" i="2"/>
  <c r="O562" i="2"/>
  <c r="K562" i="2"/>
  <c r="H562" i="2" s="1"/>
  <c r="J562" i="2" s="1"/>
  <c r="G562" i="2"/>
  <c r="O320" i="2"/>
  <c r="K320" i="2"/>
  <c r="H320" i="2" s="1"/>
  <c r="J320" i="2" s="1"/>
  <c r="G320" i="2"/>
  <c r="O225" i="2"/>
  <c r="K225" i="2"/>
  <c r="H225" i="2" s="1"/>
  <c r="J225" i="2" s="1"/>
  <c r="G225" i="2"/>
  <c r="O416" i="2"/>
  <c r="K416" i="2"/>
  <c r="H416" i="2" s="1"/>
  <c r="J416" i="2" s="1"/>
  <c r="G416" i="2"/>
  <c r="O44" i="2"/>
  <c r="K44" i="2"/>
  <c r="H44" i="2" s="1"/>
  <c r="J44" i="2" s="1"/>
  <c r="G44" i="2"/>
  <c r="O244" i="2"/>
  <c r="K244" i="2"/>
  <c r="H244" i="2" s="1"/>
  <c r="J244" i="2" s="1"/>
  <c r="G244" i="2"/>
  <c r="O3" i="2"/>
  <c r="K3" i="2"/>
  <c r="H3" i="2" s="1"/>
  <c r="J3" i="2" s="1"/>
  <c r="G3" i="2"/>
  <c r="O545" i="2"/>
  <c r="K545" i="2"/>
  <c r="H545" i="2" s="1"/>
  <c r="J545" i="2" s="1"/>
  <c r="G545" i="2"/>
  <c r="O164" i="2"/>
  <c r="K164" i="2"/>
  <c r="H164" i="2" s="1"/>
  <c r="J164" i="2" s="1"/>
  <c r="G164" i="2"/>
  <c r="O242" i="2"/>
  <c r="K242" i="2"/>
  <c r="H242" i="2" s="1"/>
  <c r="J242" i="2" s="1"/>
  <c r="G242" i="2"/>
  <c r="O36" i="2"/>
  <c r="K36" i="2"/>
  <c r="H36" i="2" s="1"/>
  <c r="J36" i="2" s="1"/>
  <c r="G36" i="2"/>
  <c r="O293" i="2"/>
  <c r="K293" i="2"/>
  <c r="H293" i="2" s="1"/>
  <c r="J293" i="2" s="1"/>
  <c r="G293" i="2"/>
  <c r="O173" i="2"/>
  <c r="K173" i="2"/>
  <c r="H173" i="2" s="1"/>
  <c r="J173" i="2" s="1"/>
  <c r="G173" i="2"/>
  <c r="O479" i="2"/>
  <c r="K479" i="2"/>
  <c r="H479" i="2" s="1"/>
  <c r="J479" i="2" s="1"/>
  <c r="G479" i="2"/>
  <c r="O76" i="2"/>
  <c r="K76" i="2"/>
  <c r="H76" i="2" s="1"/>
  <c r="J76" i="2" s="1"/>
  <c r="G76" i="2"/>
  <c r="O294" i="2"/>
  <c r="K294" i="2"/>
  <c r="H294" i="2" s="1"/>
  <c r="J294" i="2" s="1"/>
  <c r="G294" i="2"/>
  <c r="O329" i="2"/>
  <c r="K329" i="2"/>
  <c r="H329" i="2" s="1"/>
  <c r="J329" i="2" s="1"/>
  <c r="G329" i="2"/>
  <c r="O168" i="2"/>
  <c r="K168" i="2"/>
  <c r="H168" i="2" s="1"/>
  <c r="J168" i="2" s="1"/>
  <c r="G168" i="2"/>
  <c r="O443" i="2"/>
  <c r="K443" i="2"/>
  <c r="H443" i="2" s="1"/>
  <c r="J443" i="2" s="1"/>
  <c r="G443" i="2"/>
  <c r="O549" i="2"/>
  <c r="K549" i="2"/>
  <c r="H549" i="2" s="1"/>
  <c r="J549" i="2" s="1"/>
  <c r="G549" i="2"/>
  <c r="O126" i="2"/>
  <c r="K126" i="2"/>
  <c r="H126" i="2" s="1"/>
  <c r="J126" i="2" s="1"/>
  <c r="G126" i="2"/>
  <c r="O269" i="2"/>
  <c r="K269" i="2"/>
  <c r="H269" i="2" s="1"/>
  <c r="J269" i="2" s="1"/>
  <c r="G269" i="2"/>
  <c r="O557" i="2"/>
  <c r="K557" i="2"/>
  <c r="H557" i="2" s="1"/>
  <c r="J557" i="2" s="1"/>
  <c r="G557" i="2"/>
  <c r="O358" i="2"/>
  <c r="K358" i="2"/>
  <c r="H358" i="2" s="1"/>
  <c r="J358" i="2" s="1"/>
  <c r="G358" i="2"/>
  <c r="O482" i="2"/>
  <c r="K482" i="2"/>
  <c r="H482" i="2" s="1"/>
  <c r="J482" i="2" s="1"/>
  <c r="G482" i="2"/>
  <c r="O266" i="2"/>
  <c r="K266" i="2"/>
  <c r="H266" i="2" s="1"/>
  <c r="J266" i="2" s="1"/>
  <c r="G266" i="2"/>
  <c r="O591" i="2"/>
  <c r="K591" i="2"/>
  <c r="H591" i="2" s="1"/>
  <c r="J591" i="2" s="1"/>
  <c r="G591" i="2"/>
  <c r="O508" i="2"/>
  <c r="K508" i="2"/>
  <c r="H508" i="2" s="1"/>
  <c r="J508" i="2" s="1"/>
  <c r="G508" i="2"/>
  <c r="O239" i="2"/>
  <c r="K239" i="2"/>
  <c r="H239" i="2" s="1"/>
  <c r="J239" i="2" s="1"/>
  <c r="G239" i="2"/>
  <c r="O153" i="2"/>
  <c r="K153" i="2"/>
  <c r="H153" i="2" s="1"/>
  <c r="J153" i="2" s="1"/>
  <c r="G153" i="2"/>
  <c r="O243" i="2"/>
  <c r="K243" i="2"/>
  <c r="H243" i="2" s="1"/>
  <c r="J243" i="2" s="1"/>
  <c r="G243" i="2"/>
  <c r="O461" i="2"/>
  <c r="K461" i="2"/>
  <c r="H461" i="2" s="1"/>
  <c r="J461" i="2" s="1"/>
  <c r="G461" i="2"/>
  <c r="O389" i="2"/>
  <c r="K389" i="2"/>
  <c r="H389" i="2" s="1"/>
  <c r="J389" i="2" s="1"/>
  <c r="G389" i="2"/>
  <c r="O415" i="2"/>
  <c r="K415" i="2"/>
  <c r="H415" i="2" s="1"/>
  <c r="J415" i="2" s="1"/>
  <c r="G415" i="2"/>
  <c r="O544" i="2"/>
  <c r="K544" i="2"/>
  <c r="H544" i="2" s="1"/>
  <c r="J544" i="2" s="1"/>
  <c r="G544" i="2"/>
  <c r="O163" i="2"/>
  <c r="K163" i="2"/>
  <c r="H163" i="2" s="1"/>
  <c r="J163" i="2" s="1"/>
  <c r="G163" i="2"/>
  <c r="O319" i="2"/>
  <c r="K319" i="2"/>
  <c r="H319" i="2" s="1"/>
  <c r="J319" i="2" s="1"/>
  <c r="G319" i="2"/>
  <c r="O442" i="2"/>
  <c r="K442" i="2"/>
  <c r="H442" i="2" s="1"/>
  <c r="J442" i="2" s="1"/>
  <c r="G442" i="2"/>
  <c r="O84" i="2"/>
  <c r="K84" i="2"/>
  <c r="H84" i="2" s="1"/>
  <c r="J84" i="2" s="1"/>
  <c r="G84" i="2"/>
  <c r="O357" i="2"/>
  <c r="K357" i="2"/>
  <c r="H357" i="2" s="1"/>
  <c r="J357" i="2" s="1"/>
  <c r="G357" i="2"/>
  <c r="O224" i="2"/>
  <c r="K224" i="2"/>
  <c r="H224" i="2" s="1"/>
  <c r="J224" i="2" s="1"/>
  <c r="G224" i="2"/>
  <c r="O35" i="2"/>
  <c r="K35" i="2"/>
  <c r="H35" i="2" s="1"/>
  <c r="J35" i="2" s="1"/>
  <c r="G35" i="2"/>
  <c r="O183" i="2"/>
  <c r="K183" i="2"/>
  <c r="H183" i="2" s="1"/>
  <c r="J183" i="2" s="1"/>
  <c r="G183" i="2"/>
  <c r="O152" i="2"/>
  <c r="K152" i="2"/>
  <c r="H152" i="2" s="1"/>
  <c r="J152" i="2" s="1"/>
  <c r="G152" i="2"/>
  <c r="O586" i="2"/>
  <c r="K586" i="2"/>
  <c r="H586" i="2" s="1"/>
  <c r="J586" i="2" s="1"/>
  <c r="G586" i="2"/>
  <c r="O265" i="2"/>
  <c r="K265" i="2"/>
  <c r="H265" i="2" s="1"/>
  <c r="J265" i="2" s="1"/>
  <c r="G265" i="2"/>
  <c r="O460" i="2"/>
  <c r="K460" i="2"/>
  <c r="H460" i="2" s="1"/>
  <c r="J460" i="2" s="1"/>
  <c r="G460" i="2"/>
  <c r="O414" i="2"/>
  <c r="K414" i="2"/>
  <c r="H414" i="2" s="1"/>
  <c r="J414" i="2" s="1"/>
  <c r="G414" i="2"/>
  <c r="O388" i="2"/>
  <c r="K388" i="2"/>
  <c r="H388" i="2" s="1"/>
  <c r="J388" i="2" s="1"/>
  <c r="G388" i="2"/>
  <c r="O543" i="2"/>
  <c r="K543" i="2"/>
  <c r="H543" i="2" s="1"/>
  <c r="J543" i="2" s="1"/>
  <c r="G543" i="2"/>
  <c r="O498" i="2"/>
  <c r="K498" i="2"/>
  <c r="H498" i="2" s="1"/>
  <c r="J498" i="2" s="1"/>
  <c r="G498" i="2"/>
  <c r="O162" i="2"/>
  <c r="K162" i="2"/>
  <c r="H162" i="2" s="1"/>
  <c r="J162" i="2" s="1"/>
  <c r="G162" i="2"/>
  <c r="O318" i="2"/>
  <c r="K318" i="2"/>
  <c r="H318" i="2" s="1"/>
  <c r="J318" i="2" s="1"/>
  <c r="G318" i="2"/>
  <c r="O120" i="2"/>
  <c r="K120" i="2"/>
  <c r="H120" i="2" s="1"/>
  <c r="J120" i="2" s="1"/>
  <c r="G120" i="2"/>
  <c r="O186" i="2"/>
  <c r="K186" i="2"/>
  <c r="H186" i="2" s="1"/>
  <c r="J186" i="2" s="1"/>
  <c r="G186" i="2"/>
  <c r="O356" i="2"/>
  <c r="K356" i="2"/>
  <c r="H356" i="2" s="1"/>
  <c r="J356" i="2" s="1"/>
  <c r="G356" i="2"/>
  <c r="O489" i="2"/>
  <c r="K489" i="2"/>
  <c r="H489" i="2" s="1"/>
  <c r="J489" i="2" s="1"/>
  <c r="G489" i="2"/>
  <c r="O66" i="2"/>
  <c r="K66" i="2"/>
  <c r="H66" i="2" s="1"/>
  <c r="J66" i="2" s="1"/>
  <c r="G66" i="2"/>
  <c r="O182" i="2"/>
  <c r="K182" i="2"/>
  <c r="H182" i="2" s="1"/>
  <c r="J182" i="2" s="1"/>
  <c r="G182" i="2"/>
  <c r="O34" i="2"/>
  <c r="K34" i="2"/>
  <c r="H34" i="2" s="1"/>
  <c r="J34" i="2" s="1"/>
  <c r="G34" i="2"/>
  <c r="O151" i="2"/>
  <c r="K151" i="2"/>
  <c r="H151" i="2" s="1"/>
  <c r="J151" i="2" s="1"/>
  <c r="G151" i="2"/>
  <c r="O441" i="2"/>
  <c r="K441" i="2"/>
  <c r="H441" i="2" s="1"/>
  <c r="J441" i="2" s="1"/>
  <c r="G441" i="2"/>
  <c r="O150" i="2"/>
  <c r="K150" i="2"/>
  <c r="H150" i="2" s="1"/>
  <c r="J150" i="2" s="1"/>
  <c r="G150" i="2"/>
  <c r="O387" i="2"/>
  <c r="K387" i="2"/>
  <c r="H387" i="2" s="1"/>
  <c r="J387" i="2" s="1"/>
  <c r="G387" i="2"/>
  <c r="O264" i="2"/>
  <c r="K264" i="2"/>
  <c r="H264" i="2" s="1"/>
  <c r="J264" i="2" s="1"/>
  <c r="G264" i="2"/>
  <c r="O413" i="2"/>
  <c r="K413" i="2"/>
  <c r="H413" i="2" s="1"/>
  <c r="J413" i="2" s="1"/>
  <c r="G413" i="2"/>
  <c r="O497" i="2"/>
  <c r="K497" i="2"/>
  <c r="H497" i="2" s="1"/>
  <c r="J497" i="2" s="1"/>
  <c r="G497" i="2"/>
  <c r="O542" i="2"/>
  <c r="K542" i="2"/>
  <c r="H542" i="2" s="1"/>
  <c r="J542" i="2" s="1"/>
  <c r="G542" i="2"/>
  <c r="O161" i="2"/>
  <c r="K161" i="2"/>
  <c r="H161" i="2" s="1"/>
  <c r="J161" i="2" s="1"/>
  <c r="G161" i="2"/>
  <c r="O317" i="2"/>
  <c r="K317" i="2"/>
  <c r="H317" i="2" s="1"/>
  <c r="J317" i="2" s="1"/>
  <c r="G317" i="2"/>
  <c r="O581" i="2"/>
  <c r="K581" i="2"/>
  <c r="H581" i="2" s="1"/>
  <c r="J581" i="2" s="1"/>
  <c r="G581" i="2"/>
  <c r="O386" i="2"/>
  <c r="K386" i="2"/>
  <c r="H386" i="2" s="1"/>
  <c r="J386" i="2" s="1"/>
  <c r="G386" i="2"/>
  <c r="O210" i="2"/>
  <c r="K210" i="2"/>
  <c r="H210" i="2" s="1"/>
  <c r="J210" i="2" s="1"/>
  <c r="G210" i="2"/>
  <c r="O515" i="2"/>
  <c r="K515" i="2"/>
  <c r="H515" i="2" s="1"/>
  <c r="J515" i="2" s="1"/>
  <c r="G515" i="2"/>
  <c r="O139" i="2"/>
  <c r="K139" i="2"/>
  <c r="H139" i="2" s="1"/>
  <c r="J139" i="2" s="1"/>
  <c r="G139" i="2"/>
  <c r="O160" i="2"/>
  <c r="K160" i="2"/>
  <c r="H160" i="2" s="1"/>
  <c r="J160" i="2" s="1"/>
  <c r="G160" i="2"/>
  <c r="O309" i="2"/>
  <c r="K309" i="2"/>
  <c r="H309" i="2" s="1"/>
  <c r="J309" i="2" s="1"/>
  <c r="G309" i="2"/>
  <c r="O595" i="2"/>
  <c r="K595" i="2"/>
  <c r="H595" i="2" s="1"/>
  <c r="J595" i="2" s="1"/>
  <c r="G595" i="2"/>
  <c r="O211" i="2"/>
  <c r="K211" i="2"/>
  <c r="H211" i="2" s="1"/>
  <c r="J211" i="2" s="1"/>
  <c r="G211" i="2"/>
  <c r="O223" i="2"/>
  <c r="K223" i="2"/>
  <c r="H223" i="2" s="1"/>
  <c r="J223" i="2" s="1"/>
  <c r="G223" i="2"/>
  <c r="O316" i="2"/>
  <c r="K316" i="2"/>
  <c r="H316" i="2" s="1"/>
  <c r="J316" i="2" s="1"/>
  <c r="G316" i="2"/>
  <c r="O585" i="2"/>
  <c r="K585" i="2"/>
  <c r="H585" i="2" s="1"/>
  <c r="J585" i="2" s="1"/>
  <c r="G585" i="2"/>
  <c r="O412" i="2"/>
  <c r="K412" i="2"/>
  <c r="H412" i="2" s="1"/>
  <c r="J412" i="2" s="1"/>
  <c r="G412" i="2"/>
  <c r="O385" i="2"/>
  <c r="K385" i="2"/>
  <c r="H385" i="2" s="1"/>
  <c r="J385" i="2" s="1"/>
  <c r="G385" i="2"/>
  <c r="O65" i="2"/>
  <c r="K65" i="2"/>
  <c r="H65" i="2" s="1"/>
  <c r="J65" i="2" s="1"/>
  <c r="G65" i="2"/>
  <c r="O181" i="2"/>
  <c r="K181" i="2"/>
  <c r="H181" i="2" s="1"/>
  <c r="J181" i="2" s="1"/>
  <c r="G181" i="2"/>
  <c r="O33" i="2"/>
  <c r="K33" i="2"/>
  <c r="H33" i="2" s="1"/>
  <c r="J33" i="2" s="1"/>
  <c r="G33" i="2"/>
  <c r="O238" i="2"/>
  <c r="K238" i="2"/>
  <c r="H238" i="2" s="1"/>
  <c r="J238" i="2" s="1"/>
  <c r="G238" i="2"/>
  <c r="O219" i="2"/>
  <c r="K219" i="2"/>
  <c r="H219" i="2" s="1"/>
  <c r="J219" i="2" s="1"/>
  <c r="G219" i="2"/>
  <c r="O263" i="2"/>
  <c r="K263" i="2"/>
  <c r="H263" i="2" s="1"/>
  <c r="J263" i="2" s="1"/>
  <c r="G263" i="2"/>
  <c r="O384" i="2"/>
  <c r="K384" i="2"/>
  <c r="H384" i="2" s="1"/>
  <c r="J384" i="2" s="1"/>
  <c r="G384" i="2"/>
  <c r="O348" i="2"/>
  <c r="K348" i="2"/>
  <c r="H348" i="2" s="1"/>
  <c r="J348" i="2" s="1"/>
  <c r="G348" i="2"/>
  <c r="O196" i="2"/>
  <c r="K196" i="2"/>
  <c r="H196" i="2" s="1"/>
  <c r="J196" i="2" s="1"/>
  <c r="G196" i="2"/>
  <c r="O64" i="2"/>
  <c r="K64" i="2"/>
  <c r="H64" i="2" s="1"/>
  <c r="J64" i="2" s="1"/>
  <c r="G64" i="2"/>
  <c r="O222" i="2"/>
  <c r="K222" i="2"/>
  <c r="H222" i="2" s="1"/>
  <c r="J222" i="2" s="1"/>
  <c r="G222" i="2"/>
  <c r="O556" i="2"/>
  <c r="K556" i="2"/>
  <c r="H556" i="2" s="1"/>
  <c r="J556" i="2" s="1"/>
  <c r="G556" i="2"/>
  <c r="O496" i="2"/>
  <c r="K496" i="2"/>
  <c r="H496" i="2" s="1"/>
  <c r="J496" i="2" s="1"/>
  <c r="G496" i="2"/>
  <c r="O218" i="2"/>
  <c r="K218" i="2"/>
  <c r="H218" i="2" s="1"/>
  <c r="J218" i="2" s="1"/>
  <c r="G218" i="2"/>
  <c r="O535" i="2"/>
  <c r="K535" i="2"/>
  <c r="H535" i="2" s="1"/>
  <c r="J535" i="2" s="1"/>
  <c r="G535" i="2"/>
  <c r="O159" i="2"/>
  <c r="K159" i="2"/>
  <c r="H159" i="2" s="1"/>
  <c r="J159" i="2" s="1"/>
  <c r="G159" i="2"/>
  <c r="O411" i="2"/>
  <c r="K411" i="2"/>
  <c r="H411" i="2" s="1"/>
  <c r="J411" i="2" s="1"/>
  <c r="G411" i="2"/>
  <c r="O594" i="2"/>
  <c r="K594" i="2"/>
  <c r="H594" i="2" s="1"/>
  <c r="J594" i="2" s="1"/>
  <c r="G594" i="2"/>
  <c r="O32" i="2"/>
  <c r="K32" i="2"/>
  <c r="H32" i="2" s="1"/>
  <c r="J32" i="2" s="1"/>
  <c r="G32" i="2"/>
  <c r="O383" i="2"/>
  <c r="K383" i="2"/>
  <c r="H383" i="2" s="1"/>
  <c r="J383" i="2" s="1"/>
  <c r="G383" i="2"/>
  <c r="O180" i="2"/>
  <c r="K180" i="2"/>
  <c r="H180" i="2" s="1"/>
  <c r="J180" i="2" s="1"/>
  <c r="G180" i="2"/>
  <c r="O575" i="2"/>
  <c r="K575" i="2"/>
  <c r="H575" i="2" s="1"/>
  <c r="J575" i="2" s="1"/>
  <c r="G575" i="2"/>
  <c r="O237" i="2"/>
  <c r="K237" i="2"/>
  <c r="H237" i="2" s="1"/>
  <c r="J237" i="2" s="1"/>
  <c r="G237" i="2"/>
  <c r="O520" i="2"/>
  <c r="K520" i="2"/>
  <c r="H520" i="2" s="1"/>
  <c r="J520" i="2" s="1"/>
  <c r="G520" i="2"/>
  <c r="O262" i="2"/>
  <c r="K262" i="2"/>
  <c r="H262" i="2" s="1"/>
  <c r="J262" i="2" s="1"/>
  <c r="G262" i="2"/>
  <c r="O457" i="2"/>
  <c r="K457" i="2"/>
  <c r="H457" i="2" s="1"/>
  <c r="J457" i="2" s="1"/>
  <c r="G457" i="2"/>
  <c r="O538" i="2"/>
  <c r="K538" i="2"/>
  <c r="H538" i="2" s="1"/>
  <c r="J538" i="2" s="1"/>
  <c r="G538" i="2"/>
  <c r="O579" i="2"/>
  <c r="K579" i="2"/>
  <c r="H579" i="2" s="1"/>
  <c r="J579" i="2" s="1"/>
  <c r="G579" i="2"/>
  <c r="O75" i="2"/>
  <c r="K75" i="2"/>
  <c r="H75" i="2" s="1"/>
  <c r="J75" i="2" s="1"/>
  <c r="G75" i="2"/>
  <c r="O507" i="2"/>
  <c r="K507" i="2"/>
  <c r="H507" i="2" s="1"/>
  <c r="J507" i="2" s="1"/>
  <c r="G507" i="2"/>
  <c r="O158" i="2"/>
  <c r="K158" i="2"/>
  <c r="H158" i="2" s="1"/>
  <c r="J158" i="2" s="1"/>
  <c r="G158" i="2"/>
  <c r="O74" i="2"/>
  <c r="K74" i="2"/>
  <c r="H74" i="2" s="1"/>
  <c r="J74" i="2" s="1"/>
  <c r="G74" i="2"/>
  <c r="O570" i="2"/>
  <c r="K570" i="2"/>
  <c r="H570" i="2" s="1"/>
  <c r="J570" i="2" s="1"/>
  <c r="G570" i="2"/>
  <c r="O73" i="2"/>
  <c r="K73" i="2"/>
  <c r="H73" i="2" s="1"/>
  <c r="J73" i="2" s="1"/>
  <c r="G73" i="2"/>
  <c r="O495" i="2"/>
  <c r="K495" i="2"/>
  <c r="H495" i="2" s="1"/>
  <c r="J495" i="2" s="1"/>
  <c r="G495" i="2"/>
  <c r="O569" i="2"/>
  <c r="K569" i="2"/>
  <c r="H569" i="2" s="1"/>
  <c r="J569" i="2" s="1"/>
  <c r="G569" i="2"/>
  <c r="O72" i="2"/>
  <c r="K72" i="2"/>
  <c r="H72" i="2" s="1"/>
  <c r="J72" i="2" s="1"/>
  <c r="G72" i="2"/>
  <c r="O71" i="2"/>
  <c r="K71" i="2"/>
  <c r="H71" i="2" s="1"/>
  <c r="J71" i="2" s="1"/>
  <c r="G71" i="2"/>
  <c r="O119" i="2"/>
  <c r="K119" i="2"/>
  <c r="H119" i="2" s="1"/>
  <c r="J119" i="2" s="1"/>
  <c r="G119" i="2"/>
  <c r="O217" i="2"/>
  <c r="K217" i="2"/>
  <c r="H217" i="2" s="1"/>
  <c r="J217" i="2" s="1"/>
  <c r="G217" i="2"/>
  <c r="O382" i="2"/>
  <c r="K382" i="2"/>
  <c r="H382" i="2" s="1"/>
  <c r="J382" i="2" s="1"/>
  <c r="G382" i="2"/>
  <c r="O70" i="2"/>
  <c r="K70" i="2"/>
  <c r="H70" i="2" s="1"/>
  <c r="J70" i="2" s="1"/>
  <c r="G70" i="2"/>
  <c r="O347" i="2"/>
  <c r="K347" i="2"/>
  <c r="H347" i="2" s="1"/>
  <c r="J347" i="2" s="1"/>
  <c r="G347" i="2"/>
  <c r="O216" i="2"/>
  <c r="K216" i="2"/>
  <c r="H216" i="2" s="1"/>
  <c r="J216" i="2" s="1"/>
  <c r="G216" i="2"/>
  <c r="O537" i="2"/>
  <c r="K537" i="2"/>
  <c r="H537" i="2" s="1"/>
  <c r="J537" i="2" s="1"/>
  <c r="G537" i="2"/>
  <c r="O47" i="2"/>
  <c r="K47" i="2"/>
  <c r="H47" i="2" s="1"/>
  <c r="J47" i="2" s="1"/>
  <c r="G47" i="2"/>
  <c r="O410" i="2"/>
  <c r="K410" i="2"/>
  <c r="H410" i="2" s="1"/>
  <c r="J410" i="2" s="1"/>
  <c r="G410" i="2"/>
  <c r="O215" i="2"/>
  <c r="K215" i="2"/>
  <c r="H215" i="2" s="1"/>
  <c r="J215" i="2" s="1"/>
  <c r="G215" i="2"/>
  <c r="O174" i="2"/>
  <c r="K174" i="2"/>
  <c r="H174" i="2" s="1"/>
  <c r="J174" i="2" s="1"/>
  <c r="G174" i="2"/>
  <c r="O555" i="2"/>
  <c r="K555" i="2"/>
  <c r="H555" i="2" s="1"/>
  <c r="J555" i="2" s="1"/>
  <c r="G555" i="2"/>
  <c r="O179" i="2"/>
  <c r="K179" i="2"/>
  <c r="H179" i="2" s="1"/>
  <c r="J179" i="2" s="1"/>
  <c r="G179" i="2"/>
  <c r="O459" i="2"/>
  <c r="K459" i="2"/>
  <c r="H459" i="2" s="1"/>
  <c r="J459" i="2" s="1"/>
  <c r="G459" i="2"/>
  <c r="O236" i="2"/>
  <c r="K236" i="2"/>
  <c r="H236" i="2" s="1"/>
  <c r="J236" i="2" s="1"/>
  <c r="G236" i="2"/>
  <c r="O31" i="2"/>
  <c r="K31" i="2"/>
  <c r="H31" i="2" s="1"/>
  <c r="J31" i="2" s="1"/>
  <c r="G31" i="2"/>
  <c r="O458" i="2"/>
  <c r="K458" i="2"/>
  <c r="H458" i="2" s="1"/>
  <c r="J458" i="2" s="1"/>
  <c r="G458" i="2"/>
  <c r="O261" i="2"/>
  <c r="K261" i="2"/>
  <c r="H261" i="2" s="1"/>
  <c r="J261" i="2" s="1"/>
  <c r="G261" i="2"/>
  <c r="O83" i="2"/>
  <c r="K83" i="2"/>
  <c r="H83" i="2" s="1"/>
  <c r="J83" i="2" s="1"/>
  <c r="G83" i="2"/>
  <c r="O554" i="2"/>
  <c r="K554" i="2"/>
  <c r="H554" i="2" s="1"/>
  <c r="J554" i="2" s="1"/>
  <c r="G554" i="2"/>
  <c r="O464" i="2"/>
  <c r="K464" i="2"/>
  <c r="H464" i="2" s="1"/>
  <c r="J464" i="2" s="1"/>
  <c r="G464" i="2"/>
  <c r="O578" i="2"/>
  <c r="K578" i="2"/>
  <c r="H578" i="2" s="1"/>
  <c r="J578" i="2" s="1"/>
  <c r="G578" i="2"/>
  <c r="O534" i="2"/>
  <c r="K534" i="2"/>
  <c r="H534" i="2" s="1"/>
  <c r="J534" i="2" s="1"/>
  <c r="G534" i="2"/>
  <c r="O439" i="2"/>
  <c r="K439" i="2"/>
  <c r="H439" i="2" s="1"/>
  <c r="J439" i="2" s="1"/>
  <c r="G439" i="2"/>
  <c r="O478" i="2"/>
  <c r="K478" i="2"/>
  <c r="H478" i="2" s="1"/>
  <c r="J478" i="2" s="1"/>
  <c r="G478" i="2"/>
  <c r="O494" i="2"/>
  <c r="K494" i="2"/>
  <c r="H494" i="2" s="1"/>
  <c r="J494" i="2" s="1"/>
  <c r="G494" i="2"/>
  <c r="O425" i="2"/>
  <c r="K425" i="2"/>
  <c r="H425" i="2" s="1"/>
  <c r="J425" i="2" s="1"/>
  <c r="G425" i="2"/>
  <c r="O308" i="2"/>
  <c r="K308" i="2"/>
  <c r="H308" i="2" s="1"/>
  <c r="J308" i="2" s="1"/>
  <c r="G308" i="2"/>
  <c r="O514" i="2"/>
  <c r="K514" i="2"/>
  <c r="H514" i="2" s="1"/>
  <c r="J514" i="2" s="1"/>
  <c r="G514" i="2"/>
  <c r="O580" i="2"/>
  <c r="K580" i="2"/>
  <c r="H580" i="2" s="1"/>
  <c r="J580" i="2" s="1"/>
  <c r="G580" i="2"/>
  <c r="O409" i="2"/>
  <c r="K409" i="2"/>
  <c r="H409" i="2" s="1"/>
  <c r="J409" i="2" s="1"/>
  <c r="G409" i="2"/>
  <c r="O381" i="2"/>
  <c r="K381" i="2"/>
  <c r="H381" i="2" s="1"/>
  <c r="J381" i="2" s="1"/>
  <c r="G381" i="2"/>
  <c r="O373" i="2"/>
  <c r="K373" i="2"/>
  <c r="H373" i="2" s="1"/>
  <c r="J373" i="2" s="1"/>
  <c r="G373" i="2"/>
  <c r="O178" i="2"/>
  <c r="K178" i="2"/>
  <c r="H178" i="2" s="1"/>
  <c r="J178" i="2" s="1"/>
  <c r="G178" i="2"/>
  <c r="O30" i="2"/>
  <c r="K30" i="2"/>
  <c r="H30" i="2" s="1"/>
  <c r="J30" i="2" s="1"/>
  <c r="G30" i="2"/>
  <c r="O235" i="2"/>
  <c r="K235" i="2"/>
  <c r="H235" i="2" s="1"/>
  <c r="J235" i="2" s="1"/>
  <c r="G235" i="2"/>
  <c r="O260" i="2"/>
  <c r="K260" i="2"/>
  <c r="H260" i="2" s="1"/>
  <c r="J260" i="2" s="1"/>
  <c r="G260" i="2"/>
  <c r="O292" i="2"/>
  <c r="K292" i="2"/>
  <c r="H292" i="2" s="1"/>
  <c r="J292" i="2" s="1"/>
  <c r="G292" i="2"/>
  <c r="O334" i="2"/>
  <c r="K334" i="2"/>
  <c r="H334" i="2" s="1"/>
  <c r="J334" i="2" s="1"/>
  <c r="G334" i="2"/>
  <c r="O283" i="2"/>
  <c r="K283" i="2"/>
  <c r="H283" i="2" s="1"/>
  <c r="J283" i="2" s="1"/>
  <c r="G283" i="2"/>
  <c r="O408" i="2"/>
  <c r="K408" i="2"/>
  <c r="H408" i="2" s="1"/>
  <c r="J408" i="2" s="1"/>
  <c r="G408" i="2"/>
  <c r="O553" i="2"/>
  <c r="K553" i="2"/>
  <c r="H553" i="2" s="1"/>
  <c r="J553" i="2" s="1"/>
  <c r="G553" i="2"/>
  <c r="O541" i="2"/>
  <c r="K541" i="2"/>
  <c r="H541" i="2" s="1"/>
  <c r="J541" i="2" s="1"/>
  <c r="G541" i="2"/>
  <c r="O296" i="2"/>
  <c r="K296" i="2"/>
  <c r="H296" i="2" s="1"/>
  <c r="J296" i="2" s="1"/>
  <c r="G296" i="2"/>
  <c r="O513" i="2"/>
  <c r="K513" i="2"/>
  <c r="H513" i="2" s="1"/>
  <c r="J513" i="2" s="1"/>
  <c r="G513" i="2"/>
  <c r="O506" i="2"/>
  <c r="K506" i="2"/>
  <c r="H506" i="2" s="1"/>
  <c r="J506" i="2" s="1"/>
  <c r="G506" i="2"/>
  <c r="O121" i="2"/>
  <c r="K121" i="2"/>
  <c r="H121" i="2" s="1"/>
  <c r="J121" i="2" s="1"/>
  <c r="G121" i="2"/>
  <c r="O42" i="2"/>
  <c r="K42" i="2"/>
  <c r="H42" i="2" s="1"/>
  <c r="J42" i="2" s="1"/>
  <c r="G42" i="2"/>
  <c r="O529" i="2"/>
  <c r="K529" i="2"/>
  <c r="H529" i="2" s="1"/>
  <c r="J529" i="2" s="1"/>
  <c r="G529" i="2"/>
  <c r="O333" i="2"/>
  <c r="K333" i="2"/>
  <c r="H333" i="2" s="1"/>
  <c r="J333" i="2" s="1"/>
  <c r="G333" i="2"/>
  <c r="O125" i="2"/>
  <c r="K125" i="2"/>
  <c r="H125" i="2" s="1"/>
  <c r="J125" i="2" s="1"/>
  <c r="G125" i="2"/>
  <c r="O149" i="2"/>
  <c r="K149" i="2"/>
  <c r="H149" i="2" s="1"/>
  <c r="J149" i="2" s="1"/>
  <c r="G149" i="2"/>
  <c r="O438" i="2"/>
  <c r="K438" i="2"/>
  <c r="H438" i="2" s="1"/>
  <c r="J438" i="2" s="1"/>
  <c r="G438" i="2"/>
  <c r="O148" i="2"/>
  <c r="K148" i="2"/>
  <c r="H148" i="2" s="1"/>
  <c r="J148" i="2" s="1"/>
  <c r="G148" i="2"/>
  <c r="O473" i="2"/>
  <c r="K473" i="2"/>
  <c r="H473" i="2" s="1"/>
  <c r="J473" i="2" s="1"/>
  <c r="G473" i="2"/>
  <c r="O177" i="2"/>
  <c r="K177" i="2"/>
  <c r="H177" i="2" s="1"/>
  <c r="J177" i="2" s="1"/>
  <c r="G177" i="2"/>
  <c r="O52" i="2"/>
  <c r="K52" i="2"/>
  <c r="H52" i="2" s="1"/>
  <c r="J52" i="2" s="1"/>
  <c r="G52" i="2"/>
  <c r="O407" i="2"/>
  <c r="K407" i="2"/>
  <c r="H407" i="2" s="1"/>
  <c r="J407" i="2" s="1"/>
  <c r="G407" i="2"/>
  <c r="O46" i="2"/>
  <c r="K46" i="2"/>
  <c r="H46" i="2" s="1"/>
  <c r="J46" i="2" s="1"/>
  <c r="G46" i="2"/>
  <c r="O350" i="2"/>
  <c r="K350" i="2"/>
  <c r="H350" i="2" s="1"/>
  <c r="J350" i="2" s="1"/>
  <c r="G350" i="2"/>
  <c r="O477" i="2"/>
  <c r="K477" i="2"/>
  <c r="H477" i="2" s="1"/>
  <c r="J477" i="2" s="1"/>
  <c r="G477" i="2"/>
  <c r="O82" i="2"/>
  <c r="K82" i="2"/>
  <c r="H82" i="2" s="1"/>
  <c r="J82" i="2" s="1"/>
  <c r="G82" i="2"/>
  <c r="O372" i="2"/>
  <c r="K372" i="2"/>
  <c r="H372" i="2" s="1"/>
  <c r="J372" i="2" s="1"/>
  <c r="G372" i="2"/>
  <c r="O307" i="2"/>
  <c r="K307" i="2"/>
  <c r="H307" i="2" s="1"/>
  <c r="J307" i="2" s="1"/>
  <c r="G307" i="2"/>
  <c r="O176" i="2"/>
  <c r="K176" i="2"/>
  <c r="H176" i="2" s="1"/>
  <c r="J176" i="2" s="1"/>
  <c r="G176" i="2"/>
  <c r="O234" i="2"/>
  <c r="K234" i="2"/>
  <c r="H234" i="2" s="1"/>
  <c r="J234" i="2" s="1"/>
  <c r="G234" i="2"/>
  <c r="O519" i="2"/>
  <c r="K519" i="2"/>
  <c r="H519" i="2" s="1"/>
  <c r="J519" i="2" s="1"/>
  <c r="G519" i="2"/>
  <c r="O106" i="2"/>
  <c r="K106" i="2"/>
  <c r="H106" i="2" s="1"/>
  <c r="J106" i="2" s="1"/>
  <c r="G106" i="2"/>
  <c r="O29" i="2"/>
  <c r="K29" i="2"/>
  <c r="H29" i="2" s="1"/>
  <c r="J29" i="2" s="1"/>
  <c r="G29" i="2"/>
  <c r="O259" i="2"/>
  <c r="K259" i="2"/>
  <c r="H259" i="2" s="1"/>
  <c r="J259" i="2" s="1"/>
  <c r="G259" i="2"/>
  <c r="O380" i="2"/>
  <c r="K380" i="2"/>
  <c r="H380" i="2" s="1"/>
  <c r="J380" i="2" s="1"/>
  <c r="G380" i="2"/>
  <c r="O501" i="2"/>
  <c r="K501" i="2"/>
  <c r="H501" i="2" s="1"/>
  <c r="J501" i="2" s="1"/>
  <c r="G501" i="2"/>
  <c r="O500" i="2"/>
  <c r="K500" i="2"/>
  <c r="H500" i="2" s="1"/>
  <c r="J500" i="2" s="1"/>
  <c r="G500" i="2"/>
  <c r="O45" i="2"/>
  <c r="K45" i="2"/>
  <c r="H45" i="2" s="1"/>
  <c r="J45" i="2" s="1"/>
  <c r="G45" i="2"/>
  <c r="O351" i="2"/>
  <c r="K351" i="2"/>
  <c r="H351" i="2" s="1"/>
  <c r="J351" i="2" s="1"/>
  <c r="G351" i="2"/>
  <c r="O208" i="2"/>
  <c r="K208" i="2"/>
  <c r="H208" i="2" s="1"/>
  <c r="J208" i="2" s="1"/>
  <c r="G208" i="2"/>
  <c r="O147" i="2"/>
  <c r="K147" i="2"/>
  <c r="H147" i="2" s="1"/>
  <c r="J147" i="2" s="1"/>
  <c r="G147" i="2"/>
  <c r="O332" i="2"/>
  <c r="K332" i="2"/>
  <c r="H332" i="2" s="1"/>
  <c r="J332" i="2" s="1"/>
  <c r="G332" i="2"/>
  <c r="O275" i="2"/>
  <c r="K275" i="2"/>
  <c r="H275" i="2" s="1"/>
  <c r="J275" i="2" s="1"/>
  <c r="G275" i="2"/>
  <c r="O118" i="2"/>
  <c r="K118" i="2"/>
  <c r="H118" i="2" s="1"/>
  <c r="J118" i="2" s="1"/>
  <c r="G118" i="2"/>
  <c r="O146" i="2"/>
  <c r="K146" i="2"/>
  <c r="H146" i="2" s="1"/>
  <c r="J146" i="2" s="1"/>
  <c r="G146" i="2"/>
  <c r="O291" i="2"/>
  <c r="K291" i="2"/>
  <c r="H291" i="2" s="1"/>
  <c r="J291" i="2" s="1"/>
  <c r="G291" i="2"/>
  <c r="O145" i="2"/>
  <c r="K145" i="2"/>
  <c r="H145" i="2" s="1"/>
  <c r="J145" i="2" s="1"/>
  <c r="G145" i="2"/>
  <c r="O379" i="2"/>
  <c r="K379" i="2"/>
  <c r="H379" i="2" s="1"/>
  <c r="J379" i="2" s="1"/>
  <c r="G379" i="2"/>
  <c r="O406" i="2"/>
  <c r="K406" i="2"/>
  <c r="H406" i="2" s="1"/>
  <c r="J406" i="2" s="1"/>
  <c r="G406" i="2"/>
  <c r="O51" i="2"/>
  <c r="K51" i="2"/>
  <c r="H51" i="2" s="1"/>
  <c r="J51" i="2" s="1"/>
  <c r="G51" i="2"/>
  <c r="O282" i="2"/>
  <c r="K282" i="2"/>
  <c r="H282" i="2" s="1"/>
  <c r="J282" i="2" s="1"/>
  <c r="G282" i="2"/>
  <c r="O512" i="2"/>
  <c r="K512" i="2"/>
  <c r="H512" i="2" s="1"/>
  <c r="J512" i="2" s="1"/>
  <c r="G512" i="2"/>
  <c r="O476" i="2"/>
  <c r="K476" i="2"/>
  <c r="H476" i="2" s="1"/>
  <c r="J476" i="2" s="1"/>
  <c r="G476" i="2"/>
  <c r="O233" i="2"/>
  <c r="K233" i="2"/>
  <c r="H233" i="2" s="1"/>
  <c r="J233" i="2" s="1"/>
  <c r="G233" i="2"/>
  <c r="O605" i="2"/>
  <c r="K605" i="2"/>
  <c r="H605" i="2" s="1"/>
  <c r="J605" i="2" s="1"/>
  <c r="G605" i="2"/>
  <c r="O175" i="2"/>
  <c r="K175" i="2"/>
  <c r="H175" i="2" s="1"/>
  <c r="J175" i="2" s="1"/>
  <c r="G175" i="2"/>
  <c r="O28" i="2"/>
  <c r="K28" i="2"/>
  <c r="H28" i="2" s="1"/>
  <c r="J28" i="2" s="1"/>
  <c r="G28" i="2"/>
  <c r="O472" i="2"/>
  <c r="K472" i="2"/>
  <c r="H472" i="2" s="1"/>
  <c r="J472" i="2" s="1"/>
  <c r="G472" i="2"/>
  <c r="O371" i="2"/>
  <c r="K371" i="2"/>
  <c r="H371" i="2" s="1"/>
  <c r="J371" i="2" s="1"/>
  <c r="G371" i="2"/>
  <c r="O17" i="2"/>
  <c r="K17" i="2"/>
  <c r="H17" i="2" s="1"/>
  <c r="J17" i="2" s="1"/>
  <c r="G17" i="2"/>
  <c r="O105" i="2"/>
  <c r="K105" i="2"/>
  <c r="H105" i="2" s="1"/>
  <c r="J105" i="2" s="1"/>
  <c r="G105" i="2"/>
  <c r="O258" i="2"/>
  <c r="K258" i="2"/>
  <c r="H258" i="2" s="1"/>
  <c r="J258" i="2" s="1"/>
  <c r="G258" i="2"/>
  <c r="O306" i="2"/>
  <c r="K306" i="2"/>
  <c r="H306" i="2" s="1"/>
  <c r="J306" i="2" s="1"/>
  <c r="G306" i="2"/>
  <c r="O378" i="2"/>
  <c r="K378" i="2"/>
  <c r="H378" i="2" s="1"/>
  <c r="J378" i="2" s="1"/>
  <c r="G378" i="2"/>
  <c r="O328" i="2"/>
  <c r="K328" i="2"/>
  <c r="H328" i="2" s="1"/>
  <c r="J328" i="2" s="1"/>
  <c r="G328" i="2"/>
  <c r="O353" i="2"/>
  <c r="K353" i="2"/>
  <c r="H353" i="2" s="1"/>
  <c r="J353" i="2" s="1"/>
  <c r="G353" i="2"/>
  <c r="O207" i="2"/>
  <c r="K207" i="2"/>
  <c r="H207" i="2" s="1"/>
  <c r="J207" i="2" s="1"/>
  <c r="G207" i="2"/>
  <c r="O281" i="2"/>
  <c r="K281" i="2"/>
  <c r="H281" i="2" s="1"/>
  <c r="J281" i="2" s="1"/>
  <c r="G281" i="2"/>
  <c r="O370" i="2"/>
  <c r="K370" i="2"/>
  <c r="H370" i="2" s="1"/>
  <c r="J370" i="2" s="1"/>
  <c r="G370" i="2"/>
  <c r="O405" i="2"/>
  <c r="K405" i="2"/>
  <c r="H405" i="2" s="1"/>
  <c r="J405" i="2" s="1"/>
  <c r="G405" i="2"/>
  <c r="O140" i="2"/>
  <c r="K140" i="2"/>
  <c r="H140" i="2" s="1"/>
  <c r="J140" i="2" s="1"/>
  <c r="G140" i="2"/>
  <c r="O50" i="2"/>
  <c r="K50" i="2"/>
  <c r="H50" i="2" s="1"/>
  <c r="J50" i="2" s="1"/>
  <c r="G50" i="2"/>
  <c r="O191" i="2"/>
  <c r="K191" i="2"/>
  <c r="H191" i="2" s="1"/>
  <c r="J191" i="2" s="1"/>
  <c r="G191" i="2"/>
  <c r="O344" i="2"/>
  <c r="K344" i="2"/>
  <c r="H344" i="2" s="1"/>
  <c r="J344" i="2" s="1"/>
  <c r="G344" i="2"/>
  <c r="O27" i="2"/>
  <c r="K27" i="2"/>
  <c r="H27" i="2" s="1"/>
  <c r="J27" i="2" s="1"/>
  <c r="G27" i="2"/>
  <c r="O475" i="2"/>
  <c r="K475" i="2"/>
  <c r="H475" i="2" s="1"/>
  <c r="J475" i="2" s="1"/>
  <c r="G475" i="2"/>
  <c r="O11" i="2"/>
  <c r="K11" i="2"/>
  <c r="H11" i="2" s="1"/>
  <c r="J11" i="2" s="1"/>
  <c r="G11" i="2"/>
  <c r="O220" i="2"/>
  <c r="K220" i="2"/>
  <c r="H220" i="2" s="1"/>
  <c r="J220" i="2" s="1"/>
  <c r="G220" i="2"/>
  <c r="O203" i="2"/>
  <c r="K203" i="2"/>
  <c r="H203" i="2" s="1"/>
  <c r="J203" i="2" s="1"/>
  <c r="G203" i="2"/>
  <c r="O604" i="2"/>
  <c r="K604" i="2"/>
  <c r="H604" i="2" s="1"/>
  <c r="J604" i="2" s="1"/>
  <c r="G604" i="2"/>
  <c r="O144" i="2"/>
  <c r="K144" i="2"/>
  <c r="H144" i="2" s="1"/>
  <c r="J144" i="2" s="1"/>
  <c r="G144" i="2"/>
  <c r="O63" i="2"/>
  <c r="K63" i="2"/>
  <c r="H63" i="2" s="1"/>
  <c r="J63" i="2" s="1"/>
  <c r="G63" i="2"/>
  <c r="O290" i="2"/>
  <c r="K290" i="2"/>
  <c r="H290" i="2" s="1"/>
  <c r="J290" i="2" s="1"/>
  <c r="G290" i="2"/>
  <c r="O471" i="2"/>
  <c r="K471" i="2"/>
  <c r="H471" i="2" s="1"/>
  <c r="J471" i="2" s="1"/>
  <c r="G471" i="2"/>
  <c r="O124" i="2"/>
  <c r="K124" i="2"/>
  <c r="H124" i="2" s="1"/>
  <c r="J124" i="2" s="1"/>
  <c r="G124" i="2"/>
  <c r="O511" i="2"/>
  <c r="K511" i="2"/>
  <c r="H511" i="2" s="1"/>
  <c r="J511" i="2" s="1"/>
  <c r="G511" i="2"/>
  <c r="O533" i="2"/>
  <c r="K533" i="2"/>
  <c r="H533" i="2" s="1"/>
  <c r="J533" i="2" s="1"/>
  <c r="G533" i="2"/>
  <c r="O104" i="2"/>
  <c r="K104" i="2"/>
  <c r="H104" i="2" s="1"/>
  <c r="J104" i="2" s="1"/>
  <c r="G104" i="2"/>
  <c r="O305" i="2"/>
  <c r="K305" i="2"/>
  <c r="H305" i="2" s="1"/>
  <c r="J305" i="2" s="1"/>
  <c r="G305" i="2"/>
  <c r="O430" i="2"/>
  <c r="K430" i="2"/>
  <c r="H430" i="2" s="1"/>
  <c r="J430" i="2" s="1"/>
  <c r="G430" i="2"/>
  <c r="O327" i="2"/>
  <c r="K327" i="2"/>
  <c r="H327" i="2" s="1"/>
  <c r="J327" i="2" s="1"/>
  <c r="G327" i="2"/>
  <c r="O493" i="2"/>
  <c r="K493" i="2"/>
  <c r="H493" i="2" s="1"/>
  <c r="J493" i="2" s="1"/>
  <c r="G493" i="2"/>
  <c r="O369" i="2"/>
  <c r="K369" i="2"/>
  <c r="H369" i="2" s="1"/>
  <c r="J369" i="2" s="1"/>
  <c r="G369" i="2"/>
  <c r="O518" i="2"/>
  <c r="K518" i="2"/>
  <c r="H518" i="2" s="1"/>
  <c r="J518" i="2" s="1"/>
  <c r="G518" i="2"/>
  <c r="O26" i="2"/>
  <c r="K26" i="2"/>
  <c r="H26" i="2" s="1"/>
  <c r="J26" i="2" s="1"/>
  <c r="G26" i="2"/>
  <c r="O134" i="2"/>
  <c r="K134" i="2"/>
  <c r="H134" i="2" s="1"/>
  <c r="J134" i="2" s="1"/>
  <c r="G134" i="2"/>
  <c r="O190" i="2"/>
  <c r="K190" i="2"/>
  <c r="H190" i="2" s="1"/>
  <c r="J190" i="2" s="1"/>
  <c r="G190" i="2"/>
  <c r="O588" i="2"/>
  <c r="J588" i="2"/>
  <c r="G588" i="2"/>
  <c r="O603" i="2"/>
  <c r="K603" i="2"/>
  <c r="H603" i="2" s="1"/>
  <c r="J603" i="2" s="1"/>
  <c r="G603" i="2"/>
  <c r="O123" i="2"/>
  <c r="K123" i="2"/>
  <c r="H123" i="2" s="1"/>
  <c r="J123" i="2" s="1"/>
  <c r="G123" i="2"/>
  <c r="O10" i="2"/>
  <c r="K10" i="2"/>
  <c r="H10" i="2" s="1"/>
  <c r="J10" i="2" s="1"/>
  <c r="G10" i="2"/>
  <c r="O62" i="2"/>
  <c r="K62" i="2"/>
  <c r="H62" i="2" s="1"/>
  <c r="J62" i="2" s="1"/>
  <c r="G62" i="2"/>
  <c r="O474" i="2"/>
  <c r="K474" i="2"/>
  <c r="H474" i="2" s="1"/>
  <c r="J474" i="2" s="1"/>
  <c r="G474" i="2"/>
  <c r="O202" i="2"/>
  <c r="K202" i="2"/>
  <c r="H202" i="2" s="1"/>
  <c r="J202" i="2" s="1"/>
  <c r="G202" i="2"/>
  <c r="O16" i="2"/>
  <c r="K16" i="2"/>
  <c r="H16" i="2" s="1"/>
  <c r="J16" i="2" s="1"/>
  <c r="G16" i="2"/>
  <c r="O532" i="2"/>
  <c r="K532" i="2"/>
  <c r="H532" i="2" s="1"/>
  <c r="J532" i="2" s="1"/>
  <c r="G532" i="2"/>
  <c r="O143" i="2"/>
  <c r="K143" i="2"/>
  <c r="H143" i="2" s="1"/>
  <c r="J143" i="2" s="1"/>
  <c r="G143" i="2"/>
  <c r="O470" i="2"/>
  <c r="K470" i="2"/>
  <c r="H470" i="2" s="1"/>
  <c r="J470" i="2" s="1"/>
  <c r="G470" i="2"/>
  <c r="O232" i="2"/>
  <c r="K232" i="2"/>
  <c r="H232" i="2" s="1"/>
  <c r="J232" i="2" s="1"/>
  <c r="G232" i="2"/>
  <c r="O304" i="2"/>
  <c r="K304" i="2"/>
  <c r="H304" i="2" s="1"/>
  <c r="J304" i="2" s="1"/>
  <c r="G304" i="2"/>
  <c r="O289" i="2"/>
  <c r="K289" i="2"/>
  <c r="H289" i="2" s="1"/>
  <c r="J289" i="2" s="1"/>
  <c r="G289" i="2"/>
  <c r="O510" i="2"/>
  <c r="K510" i="2"/>
  <c r="H510" i="2" s="1"/>
  <c r="J510" i="2" s="1"/>
  <c r="G510" i="2"/>
  <c r="O103" i="2"/>
  <c r="K103" i="2"/>
  <c r="H103" i="2" s="1"/>
  <c r="J103" i="2" s="1"/>
  <c r="G103" i="2"/>
  <c r="O256" i="2"/>
  <c r="K256" i="2"/>
  <c r="H256" i="2" s="1"/>
  <c r="J256" i="2" s="1"/>
  <c r="G256" i="2"/>
  <c r="O268" i="2"/>
  <c r="K268" i="2"/>
  <c r="H268" i="2" s="1"/>
  <c r="J268" i="2" s="1"/>
  <c r="G268" i="2"/>
  <c r="O201" i="2"/>
  <c r="K201" i="2"/>
  <c r="H201" i="2" s="1"/>
  <c r="J201" i="2" s="1"/>
  <c r="G201" i="2"/>
  <c r="O117" i="2"/>
  <c r="K117" i="2"/>
  <c r="H117" i="2" s="1"/>
  <c r="J117" i="2" s="1"/>
  <c r="G117" i="2"/>
  <c r="O454" i="2"/>
  <c r="K454" i="2"/>
  <c r="H454" i="2" s="1"/>
  <c r="J454" i="2" s="1"/>
  <c r="G454" i="2"/>
  <c r="O326" i="2"/>
  <c r="K326" i="2"/>
  <c r="H326" i="2" s="1"/>
  <c r="J326" i="2" s="1"/>
  <c r="G326" i="2"/>
  <c r="O49" i="2"/>
  <c r="K49" i="2"/>
  <c r="H49" i="2" s="1"/>
  <c r="J49" i="2" s="1"/>
  <c r="G49" i="2"/>
  <c r="O509" i="2"/>
  <c r="K509" i="2"/>
  <c r="H509" i="2" s="1"/>
  <c r="J509" i="2" s="1"/>
  <c r="G509" i="2"/>
  <c r="O404" i="2"/>
  <c r="K404" i="2"/>
  <c r="H404" i="2" s="1"/>
  <c r="J404" i="2" s="1"/>
  <c r="G404" i="2"/>
  <c r="O157" i="2"/>
  <c r="K157" i="2"/>
  <c r="H157" i="2" s="1"/>
  <c r="J157" i="2" s="1"/>
  <c r="G157" i="2"/>
  <c r="O288" i="2"/>
  <c r="K288" i="2"/>
  <c r="H288" i="2" s="1"/>
  <c r="J288" i="2" s="1"/>
  <c r="G288" i="2"/>
  <c r="O528" i="2"/>
  <c r="K528" i="2"/>
  <c r="H528" i="2" s="1"/>
  <c r="J528" i="2" s="1"/>
  <c r="G528" i="2"/>
  <c r="O9" i="2"/>
  <c r="K9" i="2"/>
  <c r="H9" i="2" s="1"/>
  <c r="J9" i="2" s="1"/>
  <c r="G9" i="2"/>
  <c r="O368" i="2"/>
  <c r="K368" i="2"/>
  <c r="H368" i="2" s="1"/>
  <c r="J368" i="2" s="1"/>
  <c r="G368" i="2"/>
  <c r="O469" i="2"/>
  <c r="K469" i="2"/>
  <c r="H469" i="2" s="1"/>
  <c r="J469" i="2" s="1"/>
  <c r="G469" i="2"/>
  <c r="O25" i="2"/>
  <c r="K25" i="2"/>
  <c r="H25" i="2" s="1"/>
  <c r="J25" i="2" s="1"/>
  <c r="G25" i="2"/>
  <c r="O231" i="2"/>
  <c r="K231" i="2"/>
  <c r="H231" i="2" s="1"/>
  <c r="J231" i="2" s="1"/>
  <c r="G231" i="2"/>
  <c r="O303" i="2"/>
  <c r="K303" i="2"/>
  <c r="H303" i="2" s="1"/>
  <c r="J303" i="2" s="1"/>
  <c r="G303" i="2"/>
  <c r="O142" i="2"/>
  <c r="K142" i="2"/>
  <c r="H142" i="2" s="1"/>
  <c r="J142" i="2" s="1"/>
  <c r="G142" i="2"/>
  <c r="O377" i="2"/>
  <c r="K377" i="2"/>
  <c r="H377" i="2" s="1"/>
  <c r="J377" i="2" s="1"/>
  <c r="G377" i="2"/>
  <c r="O102" i="2"/>
  <c r="K102" i="2"/>
  <c r="H102" i="2" s="1"/>
  <c r="J102" i="2" s="1"/>
  <c r="G102" i="2"/>
  <c r="O255" i="2"/>
  <c r="K255" i="2"/>
  <c r="H255" i="2" s="1"/>
  <c r="J255" i="2" s="1"/>
  <c r="G255" i="2"/>
  <c r="O81" i="2"/>
  <c r="K81" i="2"/>
  <c r="H81" i="2" s="1"/>
  <c r="J81" i="2" s="1"/>
  <c r="G81" i="2"/>
  <c r="O403" i="2"/>
  <c r="K403" i="2"/>
  <c r="H403" i="2" s="1"/>
  <c r="J403" i="2" s="1"/>
  <c r="G403" i="2"/>
  <c r="O402" i="2"/>
  <c r="K402" i="2"/>
  <c r="H402" i="2" s="1"/>
  <c r="J402" i="2" s="1"/>
  <c r="G402" i="2"/>
  <c r="O499" i="2"/>
  <c r="K499" i="2"/>
  <c r="H499" i="2" s="1"/>
  <c r="J499" i="2" s="1"/>
  <c r="G499" i="2"/>
  <c r="O325" i="2"/>
  <c r="K325" i="2"/>
  <c r="H325" i="2" s="1"/>
  <c r="J325" i="2" s="1"/>
  <c r="G325" i="2"/>
  <c r="O57" i="2"/>
  <c r="K57" i="2"/>
  <c r="H57" i="2" s="1"/>
  <c r="J57" i="2" s="1"/>
  <c r="G57" i="2"/>
  <c r="O422" i="2"/>
  <c r="K422" i="2"/>
  <c r="H422" i="2" s="1"/>
  <c r="J422" i="2" s="1"/>
  <c r="G422" i="2"/>
  <c r="O468" i="2"/>
  <c r="K468" i="2"/>
  <c r="H468" i="2" s="1"/>
  <c r="J468" i="2" s="1"/>
  <c r="G468" i="2"/>
  <c r="O602" i="2"/>
  <c r="K602" i="2"/>
  <c r="H602" i="2" s="1"/>
  <c r="J602" i="2" s="1"/>
  <c r="G602" i="2"/>
  <c r="O2" i="2"/>
  <c r="K2" i="2"/>
  <c r="H2" i="2" s="1"/>
  <c r="J2" i="2" s="1"/>
  <c r="G2" i="2"/>
  <c r="O189" i="2"/>
  <c r="K189" i="2"/>
  <c r="H189" i="2" s="1"/>
  <c r="J189" i="2" s="1"/>
  <c r="G189" i="2"/>
  <c r="O24" i="2"/>
  <c r="K24" i="2"/>
  <c r="H24" i="2" s="1"/>
  <c r="J24" i="2" s="1"/>
  <c r="G24" i="2"/>
  <c r="O280" i="2"/>
  <c r="K280" i="2"/>
  <c r="H280" i="2" s="1"/>
  <c r="J280" i="2" s="1"/>
  <c r="G280" i="2"/>
  <c r="O116" i="2"/>
  <c r="K116" i="2"/>
  <c r="H116" i="2" s="1"/>
  <c r="J116" i="2" s="1"/>
  <c r="G116" i="2"/>
  <c r="O200" i="2"/>
  <c r="K200" i="2"/>
  <c r="H200" i="2" s="1"/>
  <c r="J200" i="2" s="1"/>
  <c r="G200" i="2"/>
  <c r="O141" i="2"/>
  <c r="K141" i="2"/>
  <c r="H141" i="2" s="1"/>
  <c r="J141" i="2" s="1"/>
  <c r="G141" i="2"/>
  <c r="O8" i="2"/>
  <c r="K8" i="2"/>
  <c r="H8" i="2" s="1"/>
  <c r="J8" i="2" s="1"/>
  <c r="G8" i="2"/>
  <c r="O492" i="2"/>
  <c r="K492" i="2"/>
  <c r="H492" i="2" s="1"/>
  <c r="J492" i="2" s="1"/>
  <c r="G492" i="2"/>
  <c r="O429" i="2"/>
  <c r="K429" i="2"/>
  <c r="H429" i="2" s="1"/>
  <c r="J429" i="2" s="1"/>
  <c r="G429" i="2"/>
  <c r="O133" i="2"/>
  <c r="K133" i="2"/>
  <c r="H133" i="2" s="1"/>
  <c r="J133" i="2" s="1"/>
  <c r="G133" i="2"/>
  <c r="O367" i="2"/>
  <c r="K367" i="2"/>
  <c r="H367" i="2" s="1"/>
  <c r="J367" i="2" s="1"/>
  <c r="G367" i="2"/>
  <c r="O230" i="2"/>
  <c r="K230" i="2"/>
  <c r="H230" i="2" s="1"/>
  <c r="J230" i="2" s="1"/>
  <c r="G230" i="2"/>
  <c r="O287" i="2"/>
  <c r="K287" i="2"/>
  <c r="H287" i="2" s="1"/>
  <c r="J287" i="2" s="1"/>
  <c r="G287" i="2"/>
  <c r="O302" i="2"/>
  <c r="K302" i="2"/>
  <c r="H302" i="2" s="1"/>
  <c r="J302" i="2" s="1"/>
  <c r="G302" i="2"/>
  <c r="O101" i="2"/>
  <c r="K101" i="2"/>
  <c r="H101" i="2" s="1"/>
  <c r="J101" i="2" s="1"/>
  <c r="G101" i="2"/>
  <c r="O43" i="2"/>
  <c r="K43" i="2"/>
  <c r="H43" i="2" s="1"/>
  <c r="J43" i="2" s="1"/>
  <c r="G43" i="2"/>
  <c r="O324" i="2"/>
  <c r="K324" i="2"/>
  <c r="H324" i="2" s="1"/>
  <c r="J324" i="2" s="1"/>
  <c r="G324" i="2"/>
  <c r="O453" i="2"/>
  <c r="K453" i="2"/>
  <c r="H453" i="2" s="1"/>
  <c r="J453" i="2" s="1"/>
  <c r="G453" i="2"/>
  <c r="O401" i="2"/>
  <c r="K401" i="2"/>
  <c r="H401" i="2" s="1"/>
  <c r="J401" i="2" s="1"/>
  <c r="G401" i="2"/>
  <c r="O56" i="2"/>
  <c r="K56" i="2"/>
  <c r="H56" i="2" s="1"/>
  <c r="J56" i="2" s="1"/>
  <c r="G56" i="2"/>
  <c r="O606" i="2"/>
  <c r="K606" i="2"/>
  <c r="H606" i="2" s="1"/>
  <c r="J606" i="2" s="1"/>
  <c r="G606" i="2"/>
  <c r="O90" i="2"/>
  <c r="K90" i="2"/>
  <c r="H90" i="2" s="1"/>
  <c r="J90" i="2" s="1"/>
  <c r="G90" i="2"/>
  <c r="O138" i="2"/>
  <c r="K138" i="2"/>
  <c r="H138" i="2" s="1"/>
  <c r="J138" i="2" s="1"/>
  <c r="G138" i="2"/>
  <c r="O279" i="2"/>
  <c r="K279" i="2"/>
  <c r="H279" i="2" s="1"/>
  <c r="J279" i="2" s="1"/>
  <c r="G279" i="2"/>
  <c r="O601" i="2"/>
  <c r="K601" i="2"/>
  <c r="H601" i="2" s="1"/>
  <c r="J601" i="2" s="1"/>
  <c r="G601" i="2"/>
  <c r="O428" i="2"/>
  <c r="K428" i="2"/>
  <c r="H428" i="2" s="1"/>
  <c r="J428" i="2" s="1"/>
  <c r="G428" i="2"/>
  <c r="O69" i="2"/>
  <c r="K69" i="2"/>
  <c r="H69" i="2" s="1"/>
  <c r="J69" i="2" s="1"/>
  <c r="G69" i="2"/>
  <c r="O23" i="2"/>
  <c r="K23" i="2"/>
  <c r="H23" i="2" s="1"/>
  <c r="J23" i="2" s="1"/>
  <c r="G23" i="2"/>
  <c r="O352" i="2"/>
  <c r="K352" i="2"/>
  <c r="H352" i="2" s="1"/>
  <c r="J352" i="2" s="1"/>
  <c r="G352" i="2"/>
  <c r="O491" i="2"/>
  <c r="K491" i="2"/>
  <c r="H491" i="2" s="1"/>
  <c r="J491" i="2" s="1"/>
  <c r="G491" i="2"/>
  <c r="O115" i="2"/>
  <c r="K115" i="2"/>
  <c r="H115" i="2" s="1"/>
  <c r="J115" i="2" s="1"/>
  <c r="G115" i="2"/>
  <c r="O343" i="2"/>
  <c r="K343" i="2"/>
  <c r="H343" i="2" s="1"/>
  <c r="J343" i="2" s="1"/>
  <c r="G343" i="2"/>
  <c r="O229" i="2"/>
  <c r="K229" i="2"/>
  <c r="H229" i="2" s="1"/>
  <c r="J229" i="2" s="1"/>
  <c r="G229" i="2"/>
  <c r="O366" i="2"/>
  <c r="K366" i="2"/>
  <c r="H366" i="2" s="1"/>
  <c r="J366" i="2" s="1"/>
  <c r="G366" i="2"/>
  <c r="O286" i="2"/>
  <c r="K286" i="2"/>
  <c r="H286" i="2" s="1"/>
  <c r="J286" i="2" s="1"/>
  <c r="G286" i="2"/>
  <c r="O421" i="2"/>
  <c r="K421" i="2"/>
  <c r="H421" i="2" s="1"/>
  <c r="J421" i="2" s="1"/>
  <c r="G421" i="2"/>
  <c r="O199" i="2"/>
  <c r="K199" i="2"/>
  <c r="H199" i="2" s="1"/>
  <c r="J199" i="2" s="1"/>
  <c r="G199" i="2"/>
  <c r="O7" i="2"/>
  <c r="K7" i="2"/>
  <c r="H7" i="2" s="1"/>
  <c r="J7" i="2" s="1"/>
  <c r="G7" i="2"/>
  <c r="O100" i="2"/>
  <c r="K100" i="2"/>
  <c r="H100" i="2" s="1"/>
  <c r="J100" i="2" s="1"/>
  <c r="G100" i="2"/>
  <c r="O132" i="2"/>
  <c r="K132" i="2"/>
  <c r="H132" i="2" s="1"/>
  <c r="J132" i="2" s="1"/>
  <c r="G132" i="2"/>
  <c r="O301" i="2"/>
  <c r="K301" i="2"/>
  <c r="H301" i="2" s="1"/>
  <c r="J301" i="2" s="1"/>
  <c r="G301" i="2"/>
  <c r="O254" i="2"/>
  <c r="K254" i="2"/>
  <c r="H254" i="2" s="1"/>
  <c r="J254" i="2" s="1"/>
  <c r="G254" i="2"/>
  <c r="O80" i="2"/>
  <c r="K80" i="2"/>
  <c r="H80" i="2" s="1"/>
  <c r="J80" i="2" s="1"/>
  <c r="G80" i="2"/>
  <c r="O394" i="2"/>
  <c r="K394" i="2"/>
  <c r="H394" i="2" s="1"/>
  <c r="J394" i="2" s="1"/>
  <c r="G394" i="2"/>
  <c r="O517" i="2"/>
  <c r="K517" i="2"/>
  <c r="H517" i="2" s="1"/>
  <c r="J517" i="2" s="1"/>
  <c r="G517" i="2"/>
  <c r="O214" i="2"/>
  <c r="K214" i="2"/>
  <c r="H214" i="2" s="1"/>
  <c r="J214" i="2" s="1"/>
  <c r="G214" i="2"/>
  <c r="O114" i="2"/>
  <c r="K114" i="2"/>
  <c r="H114" i="2" s="1"/>
  <c r="J114" i="2" s="1"/>
  <c r="G114" i="2"/>
  <c r="O55" i="2"/>
  <c r="K55" i="2"/>
  <c r="H55" i="2" s="1"/>
  <c r="J55" i="2" s="1"/>
  <c r="G55" i="2"/>
  <c r="O600" i="2"/>
  <c r="K600" i="2"/>
  <c r="H600" i="2" s="1"/>
  <c r="J600" i="2" s="1"/>
  <c r="G600" i="2"/>
  <c r="O137" i="2"/>
  <c r="K137" i="2"/>
  <c r="H137" i="2" s="1"/>
  <c r="J137" i="2" s="1"/>
  <c r="G137" i="2"/>
  <c r="O427" i="2"/>
  <c r="K427" i="2"/>
  <c r="H427" i="2" s="1"/>
  <c r="J427" i="2" s="1"/>
  <c r="G427" i="2"/>
  <c r="O424" i="2"/>
  <c r="K424" i="2"/>
  <c r="H424" i="2" s="1"/>
  <c r="J424" i="2" s="1"/>
  <c r="G424" i="2"/>
  <c r="O89" i="2"/>
  <c r="K89" i="2"/>
  <c r="H89" i="2" s="1"/>
  <c r="J89" i="2" s="1"/>
  <c r="G89" i="2"/>
  <c r="O400" i="2"/>
  <c r="K400" i="2"/>
  <c r="H400" i="2" s="1"/>
  <c r="J400" i="2" s="1"/>
  <c r="G400" i="2"/>
  <c r="O5" i="2"/>
  <c r="K5" i="2"/>
  <c r="H5" i="2" s="1"/>
  <c r="J5" i="2" s="1"/>
  <c r="G5" i="2"/>
  <c r="O14" i="2"/>
  <c r="K14" i="2"/>
  <c r="H14" i="2" s="1"/>
  <c r="J14" i="2" s="1"/>
  <c r="G14" i="2"/>
  <c r="O278" i="2"/>
  <c r="K278" i="2"/>
  <c r="H278" i="2" s="1"/>
  <c r="J278" i="2" s="1"/>
  <c r="G278" i="2"/>
  <c r="O68" i="2"/>
  <c r="K68" i="2"/>
  <c r="H68" i="2" s="1"/>
  <c r="J68" i="2" s="1"/>
  <c r="G68" i="2"/>
  <c r="O228" i="2"/>
  <c r="K228" i="2"/>
  <c r="H228" i="2" s="1"/>
  <c r="J228" i="2" s="1"/>
  <c r="G228" i="2"/>
  <c r="O22" i="2"/>
  <c r="K22" i="2"/>
  <c r="H22" i="2" s="1"/>
  <c r="J22" i="2" s="1"/>
  <c r="G22" i="2"/>
  <c r="O420" i="2"/>
  <c r="K420" i="2"/>
  <c r="H420" i="2" s="1"/>
  <c r="J420" i="2" s="1"/>
  <c r="G420" i="2"/>
  <c r="O167" i="2"/>
  <c r="K167" i="2"/>
  <c r="H167" i="2" s="1"/>
  <c r="J167" i="2" s="1"/>
  <c r="G167" i="2"/>
  <c r="O365" i="2"/>
  <c r="K365" i="2"/>
  <c r="H365" i="2" s="1"/>
  <c r="J365" i="2" s="1"/>
  <c r="G365" i="2"/>
  <c r="O15" i="2"/>
  <c r="J15" i="2"/>
  <c r="G15" i="2"/>
  <c r="O61" i="2"/>
  <c r="K61" i="2"/>
  <c r="H61" i="2" s="1"/>
  <c r="J61" i="2" s="1"/>
  <c r="G61" i="2"/>
  <c r="O285" i="2"/>
  <c r="K285" i="2"/>
  <c r="H285" i="2" s="1"/>
  <c r="J285" i="2" s="1"/>
  <c r="G285" i="2"/>
  <c r="O376" i="2"/>
  <c r="K376" i="2"/>
  <c r="H376" i="2" s="1"/>
  <c r="J376" i="2" s="1"/>
  <c r="G376" i="2"/>
  <c r="O99" i="2"/>
  <c r="K99" i="2"/>
  <c r="H99" i="2" s="1"/>
  <c r="J99" i="2" s="1"/>
  <c r="G99" i="2"/>
  <c r="O198" i="2"/>
  <c r="K198" i="2"/>
  <c r="H198" i="2" s="1"/>
  <c r="J198" i="2" s="1"/>
  <c r="G198" i="2"/>
  <c r="O6" i="2"/>
  <c r="K6" i="2"/>
  <c r="H6" i="2" s="1"/>
  <c r="J6" i="2" s="1"/>
  <c r="G6" i="2"/>
  <c r="O300" i="2"/>
  <c r="K300" i="2"/>
  <c r="H300" i="2" s="1"/>
  <c r="J300" i="2" s="1"/>
  <c r="G300" i="2"/>
  <c r="O131" i="2"/>
  <c r="K131" i="2"/>
  <c r="H131" i="2" s="1"/>
  <c r="J131" i="2" s="1"/>
  <c r="G131" i="2"/>
  <c r="O113" i="2"/>
  <c r="K113" i="2"/>
  <c r="H113" i="2" s="1"/>
  <c r="J113" i="2" s="1"/>
  <c r="G113" i="2"/>
  <c r="O4" i="2"/>
  <c r="K4" i="2"/>
  <c r="H4" i="2" s="1"/>
  <c r="J4" i="2" s="1"/>
  <c r="G4" i="2"/>
  <c r="O426" i="2"/>
  <c r="K426" i="2"/>
  <c r="H426" i="2" s="1"/>
  <c r="J426" i="2" s="1"/>
  <c r="G426" i="2"/>
  <c r="O67" i="2"/>
  <c r="K67" i="2"/>
  <c r="H67" i="2" s="1"/>
  <c r="J67" i="2" s="1"/>
  <c r="G67" i="2"/>
  <c r="O13" i="2"/>
  <c r="K13" i="2"/>
  <c r="H13" i="2" s="1"/>
  <c r="J13" i="2" s="1"/>
  <c r="G13" i="2"/>
  <c r="O195" i="2"/>
  <c r="K195" i="2"/>
  <c r="H195" i="2" s="1"/>
  <c r="J195" i="2" s="1"/>
  <c r="G195" i="2"/>
  <c r="O54" i="2"/>
  <c r="K54" i="2"/>
  <c r="H54" i="2" s="1"/>
  <c r="J54" i="2" s="1"/>
  <c r="G54" i="2"/>
  <c r="O213" i="2"/>
  <c r="K213" i="2"/>
  <c r="H213" i="2" s="1"/>
  <c r="J213" i="2" s="1"/>
  <c r="G213" i="2"/>
  <c r="O21" i="2"/>
  <c r="K21" i="2"/>
  <c r="H21" i="2" s="1"/>
  <c r="J21" i="2" s="1"/>
  <c r="G21" i="2"/>
  <c r="O452" i="2"/>
  <c r="K452" i="2"/>
  <c r="H452" i="2" s="1"/>
  <c r="J452" i="2" s="1"/>
  <c r="G452" i="2"/>
  <c r="O197" i="2"/>
  <c r="K197" i="2"/>
  <c r="H197" i="2" s="1"/>
  <c r="J197" i="2" s="1"/>
  <c r="G197" i="2"/>
  <c r="O188" i="2"/>
  <c r="K188" i="2"/>
  <c r="H188" i="2" s="1"/>
  <c r="J188" i="2" s="1"/>
  <c r="G188" i="2"/>
  <c r="O599" i="2"/>
  <c r="K599" i="2"/>
  <c r="H599" i="2" s="1"/>
  <c r="J599" i="2" s="1"/>
  <c r="G599" i="2"/>
  <c r="O423" i="2"/>
  <c r="K423" i="2"/>
  <c r="H423" i="2" s="1"/>
  <c r="J423" i="2" s="1"/>
  <c r="G423" i="2"/>
  <c r="O277" i="2"/>
  <c r="K277" i="2"/>
  <c r="H277" i="2" s="1"/>
  <c r="J277" i="2" s="1"/>
  <c r="G277" i="2"/>
  <c r="O490" i="2"/>
  <c r="K490" i="2"/>
  <c r="H490" i="2" s="1"/>
  <c r="J490" i="2" s="1"/>
  <c r="G490" i="2"/>
  <c r="O399" i="2"/>
  <c r="K399" i="2"/>
  <c r="H399" i="2" s="1"/>
  <c r="J399" i="2" s="1"/>
  <c r="G399" i="2"/>
  <c r="O364" i="2"/>
  <c r="K364" i="2"/>
  <c r="H364" i="2" s="1"/>
  <c r="J364" i="2" s="1"/>
  <c r="G364" i="2"/>
  <c r="O342" i="2"/>
  <c r="K342" i="2"/>
  <c r="H342" i="2" s="1"/>
  <c r="J342" i="2" s="1"/>
  <c r="G342" i="2"/>
  <c r="O299" i="2"/>
  <c r="K299" i="2"/>
  <c r="H299" i="2" s="1"/>
  <c r="J299" i="2" s="1"/>
  <c r="G299" i="2"/>
  <c r="O284" i="2"/>
  <c r="K284" i="2"/>
  <c r="H284" i="2" s="1"/>
  <c r="J284" i="2" s="1"/>
  <c r="G284" i="2"/>
  <c r="O253" i="2"/>
  <c r="K253" i="2"/>
  <c r="H253" i="2" s="1"/>
  <c r="J253" i="2" s="1"/>
  <c r="G253" i="2"/>
  <c r="O375" i="2"/>
  <c r="K375" i="2"/>
  <c r="H375" i="2" s="1"/>
  <c r="J375" i="2" s="1"/>
  <c r="G375" i="2"/>
  <c r="O98" i="2"/>
  <c r="K98" i="2"/>
  <c r="H98" i="2" s="1"/>
  <c r="J98" i="2" s="1"/>
  <c r="G98" i="2"/>
  <c r="O130" i="2"/>
  <c r="K130" i="2"/>
  <c r="H130" i="2" s="1"/>
  <c r="J130" i="2" s="1"/>
  <c r="G130" i="2"/>
  <c r="O112" i="2"/>
  <c r="K112" i="2"/>
  <c r="H112" i="2" s="1"/>
  <c r="J112" i="2" s="1"/>
  <c r="G112" i="2"/>
  <c r="O206" i="2"/>
  <c r="K206" i="2"/>
  <c r="H206" i="2" s="1"/>
  <c r="J206" i="2" s="1"/>
  <c r="G206" i="2"/>
  <c r="O276" i="2"/>
  <c r="K276" i="2"/>
  <c r="H276" i="2" s="1"/>
  <c r="J276" i="2" s="1"/>
  <c r="G276" i="2"/>
  <c r="O212" i="2"/>
  <c r="K212" i="2"/>
  <c r="H212" i="2" s="1"/>
  <c r="J212" i="2" s="1"/>
  <c r="G212" i="2"/>
  <c r="O129" i="2"/>
  <c r="K129" i="2"/>
  <c r="H129" i="2" s="1"/>
  <c r="J129" i="2" s="1"/>
  <c r="G129" i="2"/>
  <c r="O398" i="2"/>
  <c r="K398" i="2"/>
  <c r="H398" i="2" s="1"/>
  <c r="J398" i="2" s="1"/>
  <c r="G398" i="2"/>
  <c r="O20" i="2"/>
  <c r="K20" i="2"/>
  <c r="H20" i="2" s="1"/>
  <c r="J20" i="2" s="1"/>
  <c r="G20" i="2"/>
  <c r="O53" i="2"/>
  <c r="K53" i="2"/>
  <c r="H53" i="2" s="1"/>
  <c r="J53" i="2" s="1"/>
  <c r="G53" i="2"/>
  <c r="O12" i="2"/>
  <c r="K12" i="2"/>
  <c r="H12" i="2" s="1"/>
  <c r="J12" i="2" s="1"/>
  <c r="G12" i="2"/>
  <c r="O252" i="2"/>
  <c r="K252" i="2"/>
  <c r="H252" i="2" s="1"/>
  <c r="J252" i="2" s="1"/>
  <c r="G252" i="2"/>
  <c r="O97" i="2"/>
  <c r="K97" i="2"/>
  <c r="H97" i="2" s="1"/>
  <c r="J97" i="2" s="1"/>
  <c r="G97" i="2"/>
  <c r="O298" i="2"/>
  <c r="K298" i="2"/>
  <c r="H298" i="2" s="1"/>
  <c r="J298" i="2" s="1"/>
  <c r="G298" i="2"/>
  <c r="O397" i="2"/>
  <c r="K397" i="2"/>
  <c r="H397" i="2" s="1"/>
  <c r="J397" i="2" s="1"/>
  <c r="G397" i="2"/>
  <c r="O19" i="2"/>
  <c r="K19" i="2"/>
  <c r="H19" i="2" s="1"/>
  <c r="J19" i="2" s="1"/>
  <c r="G19" i="2"/>
  <c r="O96" i="2"/>
  <c r="K96" i="2"/>
  <c r="J96" i="2"/>
  <c r="G96" i="2"/>
  <c r="O251" i="2"/>
  <c r="K251" i="2"/>
  <c r="H251" i="2" s="1"/>
  <c r="J251" i="2" s="1"/>
  <c r="G251" i="2"/>
  <c r="O111" i="2"/>
  <c r="K111" i="2"/>
  <c r="H111" i="2" s="1"/>
  <c r="J111" i="2" s="1"/>
  <c r="G111" i="2"/>
  <c r="O396" i="2"/>
  <c r="K396" i="2"/>
  <c r="H396" i="2" s="1"/>
  <c r="J396" i="2" s="1"/>
  <c r="G396" i="2"/>
  <c r="O209" i="2"/>
  <c r="K209" i="2"/>
  <c r="H209" i="2" s="1"/>
  <c r="J209" i="2" s="1"/>
  <c r="G209" i="2"/>
  <c r="O395" i="2"/>
  <c r="K395" i="2"/>
  <c r="H395" i="2" s="1"/>
  <c r="J395" i="2" s="1"/>
  <c r="G395" i="2"/>
  <c r="O297" i="2"/>
  <c r="K297" i="2"/>
  <c r="H297" i="2" s="1"/>
  <c r="J297" i="2" s="1"/>
  <c r="G297" i="2"/>
  <c r="O250" i="2"/>
  <c r="K250" i="2"/>
  <c r="H250" i="2" s="1"/>
  <c r="J250" i="2" s="1"/>
  <c r="G250" i="2"/>
  <c r="O95" i="2"/>
  <c r="K95" i="2"/>
  <c r="H95" i="2" s="1"/>
  <c r="J95" i="2" s="1"/>
  <c r="G95" i="2"/>
  <c r="O122" i="2"/>
  <c r="K122" i="2"/>
  <c r="H122" i="2" s="1"/>
  <c r="J122" i="2" s="1"/>
  <c r="G122" i="2"/>
  <c r="O346" i="2"/>
  <c r="K346" i="2"/>
  <c r="H346" i="2" s="1"/>
  <c r="J346" i="2" s="1"/>
  <c r="G346" i="2"/>
  <c r="O41" i="2"/>
  <c r="K41" i="2"/>
  <c r="H41" i="2" s="1"/>
  <c r="J41" i="2" s="1"/>
  <c r="G41" i="2"/>
  <c r="O91" i="2"/>
  <c r="K91" i="2"/>
  <c r="H91" i="2" s="1"/>
  <c r="J91" i="2" s="1"/>
  <c r="G91" i="2"/>
  <c r="O94" i="2"/>
  <c r="K94" i="2"/>
  <c r="H94" i="2" s="1"/>
  <c r="J94" i="2" s="1"/>
  <c r="G94" i="2"/>
  <c r="O249" i="2"/>
  <c r="K249" i="2"/>
  <c r="H249" i="2" s="1"/>
  <c r="J249" i="2" s="1"/>
  <c r="G249" i="2"/>
  <c r="O110" i="2"/>
  <c r="K110" i="2"/>
  <c r="H110" i="2" s="1"/>
  <c r="J110" i="2" s="1"/>
  <c r="G110" i="2"/>
  <c r="O187" i="2"/>
  <c r="K187" i="2"/>
  <c r="H187" i="2" s="1"/>
  <c r="J187" i="2" s="1"/>
  <c r="G187" i="2"/>
  <c r="O93" i="2"/>
  <c r="K93" i="2"/>
  <c r="H93" i="2" s="1"/>
  <c r="J93" i="2" s="1"/>
  <c r="G93" i="2"/>
  <c r="O18" i="2"/>
  <c r="K18" i="2"/>
  <c r="H18" i="2" s="1"/>
  <c r="J18" i="2" s="1"/>
  <c r="G18" i="2"/>
  <c r="O109" i="2"/>
  <c r="K109" i="2"/>
  <c r="H109" i="2" s="1"/>
  <c r="J109" i="2" s="1"/>
  <c r="G109" i="2"/>
  <c r="O341" i="2"/>
  <c r="K341" i="2"/>
  <c r="H341" i="2" s="1"/>
  <c r="J341" i="2" s="1"/>
  <c r="G341" i="2"/>
  <c r="O435" i="2"/>
  <c r="K435" i="2"/>
  <c r="H435" i="2" s="1"/>
  <c r="J435" i="2" s="1"/>
  <c r="G435" i="2"/>
  <c r="O92" i="2"/>
  <c r="K92" i="2"/>
  <c r="H92" i="2" s="1"/>
  <c r="J92" i="2" s="1"/>
  <c r="G92" i="2"/>
  <c r="O248" i="2"/>
  <c r="K248" i="2"/>
  <c r="H248" i="2" s="1"/>
  <c r="J248" i="2" s="1"/>
  <c r="G248" i="2"/>
  <c r="O339" i="2"/>
  <c r="J339" i="2"/>
  <c r="G339" i="2"/>
  <c r="O205" i="2"/>
  <c r="K205" i="2"/>
  <c r="H205" i="2" s="1"/>
  <c r="J205" i="2" s="1"/>
  <c r="G205" i="2"/>
  <c r="O455" i="2"/>
  <c r="J455" i="2"/>
  <c r="G455" i="2"/>
  <c r="O247" i="2"/>
  <c r="K247" i="2"/>
  <c r="H247" i="2" s="1"/>
  <c r="J247" i="2" s="1"/>
  <c r="G247" i="2"/>
  <c r="O221" i="2"/>
  <c r="J221" i="2"/>
  <c r="G221" i="2"/>
  <c r="O340" i="2"/>
  <c r="K340" i="2"/>
  <c r="H340" i="2" s="1"/>
  <c r="J340" i="2" s="1"/>
  <c r="G340" i="2"/>
  <c r="O246" i="2"/>
  <c r="K246" i="2"/>
  <c r="H246" i="2" s="1"/>
  <c r="J246" i="2" s="1"/>
  <c r="G2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tc={27C88361-DBD6-4DC5-8D1B-FA1E915356A8}</author>
  </authors>
  <commentList>
    <comment ref="B94" authorId="0" shapeId="0" xr:uid="{27C88361-DBD6-4DC5-8D1B-FA1E915356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Deposito no identificado, se asignó a MINSUR
</t>
      </text>
    </comment>
  </commentList>
</comments>
</file>

<file path=xl/sharedStrings.xml><?xml version="1.0" encoding="utf-8"?>
<sst xmlns="http://schemas.openxmlformats.org/spreadsheetml/2006/main" count="4280" uniqueCount="406">
  <si>
    <t>Nª</t>
  </si>
  <si>
    <t>EMPRESAS APORTANTES</t>
  </si>
  <si>
    <t>AÑO</t>
  </si>
  <si>
    <t>RUC</t>
  </si>
  <si>
    <t>Sección
_COD</t>
  </si>
  <si>
    <t>Sección_DESC (SECTOR)</t>
  </si>
  <si>
    <t>Codigo y descripción</t>
  </si>
  <si>
    <t>División
_COD</t>
  </si>
  <si>
    <t>Division_DESC</t>
  </si>
  <si>
    <t xml:space="preserve">Cod_DIvisión </t>
  </si>
  <si>
    <t>Grupo
_COD</t>
  </si>
  <si>
    <t>Grupo_DESC</t>
  </si>
  <si>
    <t>CIIU</t>
  </si>
  <si>
    <t>Clase_DESC</t>
  </si>
  <si>
    <t>CIIU DESCRIPCIÓN</t>
  </si>
  <si>
    <t>MINERA YANACOCHA S.R.L.</t>
  </si>
  <si>
    <t>B</t>
  </si>
  <si>
    <t>Explotación de minas y canteras</t>
  </si>
  <si>
    <t>Extracción de minerales metalíferos</t>
  </si>
  <si>
    <t>Extracción de minerales metalíferos no ferrosos</t>
  </si>
  <si>
    <t>0729</t>
  </si>
  <si>
    <t>Extracción de otros minerales metalíferos no ferrosos</t>
  </si>
  <si>
    <t>REFINERIA LA PAMPILLA S.A.A.</t>
  </si>
  <si>
    <t>C</t>
  </si>
  <si>
    <t>Industria manufacturera</t>
  </si>
  <si>
    <t>Fabricación de coque y productos de la refinación del petróleo</t>
  </si>
  <si>
    <t>Fabricación de productos de la refinación del petróleo</t>
  </si>
  <si>
    <t>1920</t>
  </si>
  <si>
    <t>DISTRIBUIDORA NORTE PACASMAYO S.R.L.</t>
  </si>
  <si>
    <t>Fabricación de productos de hormigon cemento</t>
  </si>
  <si>
    <t>192</t>
  </si>
  <si>
    <t>2395</t>
  </si>
  <si>
    <t>COCA COLA SERVICIOS PERU S.A.</t>
  </si>
  <si>
    <t>Actividades de Consultoria en Gestion</t>
  </si>
  <si>
    <t>7020</t>
  </si>
  <si>
    <t>Fabricación de otros productos metálicos</t>
  </si>
  <si>
    <t>Fabricación de productos minerales no metálicos n.c.p</t>
  </si>
  <si>
    <t>2394</t>
  </si>
  <si>
    <t>Fabricación de Cemento, Cal y Yeso</t>
  </si>
  <si>
    <t>CONFIPERU S.A.</t>
  </si>
  <si>
    <t>MINSUR S.A.</t>
  </si>
  <si>
    <t>BRISTOL - MYERS SQUIBB PERÚ S.A.</t>
  </si>
  <si>
    <t>G</t>
  </si>
  <si>
    <t>Comercio al por mayor y al por menor; reparación de vehículos automotores y motocicletas</t>
  </si>
  <si>
    <t>Comercio al por mayor, excepto el de vehículos automotores y motocicletas</t>
  </si>
  <si>
    <t>Venta al por mayor no especializada</t>
  </si>
  <si>
    <t>4690</t>
  </si>
  <si>
    <t>ELECTROPERU S.A.</t>
  </si>
  <si>
    <t>D</t>
  </si>
  <si>
    <t>Suministro de electricidad, gas, vapor y aire acondicionado</t>
  </si>
  <si>
    <t>Generación, transmisión y distribución de energía eléctrica</t>
  </si>
  <si>
    <t>3510</t>
  </si>
  <si>
    <t>MINAS CONGA S.R.L.</t>
  </si>
  <si>
    <t>SHOUGANG HIERRO PERU S.A.A.</t>
  </si>
  <si>
    <t>Extracción de minerales de hierro</t>
  </si>
  <si>
    <t>0710</t>
  </si>
  <si>
    <t>O</t>
  </si>
  <si>
    <t>COMERCIAL DEL ACERO S.A.</t>
  </si>
  <si>
    <t>TRADI S.A.</t>
  </si>
  <si>
    <t>Otras actividades de venta al por mayor especializada</t>
  </si>
  <si>
    <t>4663</t>
  </si>
  <si>
    <t>Venta al por mayor de materiales de construcción, artículos de ferretería y equipo y materiales de fontanería y calefacción</t>
  </si>
  <si>
    <t>SOUTHERN PERU COOPER CORPORATION SUCURSAL DEL PERU</t>
  </si>
  <si>
    <t>CERVECERIA SAN JUAN S.A.</t>
  </si>
  <si>
    <t>Elaboración de bebidas</t>
  </si>
  <si>
    <t>1103</t>
  </si>
  <si>
    <t>Elaboración de bebidas malteadas y de malta</t>
  </si>
  <si>
    <t>SAPET DEVELOPMENT PERU INC.</t>
  </si>
  <si>
    <t>Extracción de petróleo crudo y gas natural</t>
  </si>
  <si>
    <t>Extracción de petróleo crudo</t>
  </si>
  <si>
    <t>0610</t>
  </si>
  <si>
    <t>COMPAÑIA MINERA ANTAMINA S.A.</t>
  </si>
  <si>
    <t>SOCIEDAD MINERA CERRO VERDE S.A.A.</t>
  </si>
  <si>
    <t>DEVANLAY PERU S.A.C.</t>
  </si>
  <si>
    <t>Fabricación de prendas de vestir</t>
  </si>
  <si>
    <t>Fabricación de prendas de vestir, excepto prendas de piel</t>
  </si>
  <si>
    <t>1410</t>
  </si>
  <si>
    <t>EGECEN S.A</t>
  </si>
  <si>
    <t>SOCIEDAD MINERA CORONA S.A.</t>
  </si>
  <si>
    <t>20217427593 </t>
  </si>
  <si>
    <t>MINERA COLQUISIRI S.A.</t>
  </si>
  <si>
    <t>AMCOR PET PACKAGING DEL PERU  S.A.</t>
  </si>
  <si>
    <t>Fabricación de productos de plásticos y caucho</t>
  </si>
  <si>
    <t>Fabricación de productos de plástico</t>
  </si>
  <si>
    <t>2220</t>
  </si>
  <si>
    <t>Explotación de otras minas y canteras</t>
  </si>
  <si>
    <t>Explotación de minas y canteras n.c.p</t>
  </si>
  <si>
    <t>0899</t>
  </si>
  <si>
    <t>Explotación de otras mineras y canteras n.c.p</t>
  </si>
  <si>
    <t>DUKE ENERGY EGENOR S. EN C. POR A.</t>
  </si>
  <si>
    <t>Fabricación de productos elaborados de metal, excepto maquinaria y equipo</t>
  </si>
  <si>
    <t>Fabricación de productos elaborados de metal; actividades de servicios de trabajos de metales</t>
  </si>
  <si>
    <t>2591</t>
  </si>
  <si>
    <t>Forja, prensado, estampado y laminado de metales; pulvimetalurgia</t>
  </si>
  <si>
    <t>TELEFONICA DEL PERU S.A.A.</t>
  </si>
  <si>
    <t>J</t>
  </si>
  <si>
    <t>Información y comunicaciones</t>
  </si>
  <si>
    <t>Telecomunicaciones</t>
  </si>
  <si>
    <t>Otras actividades de telecomunicaciones</t>
  </si>
  <si>
    <t>6190</t>
  </si>
  <si>
    <t>SOCIEDAD MINERA EL BROCAL S.A.A.</t>
  </si>
  <si>
    <t>EMPRESA ADMINISTRADORA CHUNGAR S.A.C.</t>
  </si>
  <si>
    <t>07</t>
  </si>
  <si>
    <t>072</t>
  </si>
  <si>
    <t>YURA S.A.</t>
  </si>
  <si>
    <t>COMPAÑIA MINERA COLQUISIRI S.A</t>
  </si>
  <si>
    <t>NEXA RESOURCES PERÚ S.A.A.</t>
  </si>
  <si>
    <t>PERUBAR S.A.</t>
  </si>
  <si>
    <t>H</t>
  </si>
  <si>
    <t>Transporte y almacenamiento</t>
  </si>
  <si>
    <t xml:space="preserve">Almacenamiento y actividades de apoyo al transporte </t>
  </si>
  <si>
    <t>Almacenamiento y depósito</t>
  </si>
  <si>
    <t>5210</t>
  </si>
  <si>
    <t>COMPAÑIA MINERA RAURA S.A.</t>
  </si>
  <si>
    <t>COMPAÑÍA MINERA ARGENTUM S.A.</t>
  </si>
  <si>
    <t>CONSTRUCTORES MINEROS Y CONTRATISTAS GENER. SAC</t>
  </si>
  <si>
    <t>4662</t>
  </si>
  <si>
    <t>Venta al por mayor de metales y minerales metalíferos</t>
  </si>
  <si>
    <t>RENA WARE DEL PERU S.A.</t>
  </si>
  <si>
    <t>Comercio al por menor, excepto el de vehículos automotores y motocicletas</t>
  </si>
  <si>
    <t>Venta al por menor de otros productos en comercios especializados</t>
  </si>
  <si>
    <t>4759</t>
  </si>
  <si>
    <t>Venta al por menor de prendas articulos electricos</t>
  </si>
  <si>
    <t>LOUIS DREYFUSS COMPANY PERU S.R.L.</t>
  </si>
  <si>
    <t>20415077565</t>
  </si>
  <si>
    <t>MOLINOS Y CIA. S.A.</t>
  </si>
  <si>
    <t>Ventas al por mayor de materias primas agropecuarias y animales vivos</t>
  </si>
  <si>
    <t>4620</t>
  </si>
  <si>
    <t>COMPAÑIA MINERA CONDESTABLE S.A.</t>
  </si>
  <si>
    <t>TELEFONICA MOVILES S.A.</t>
  </si>
  <si>
    <t>COMFER</t>
  </si>
  <si>
    <t>ARUNTANI S.A.C.</t>
  </si>
  <si>
    <t>ENERSUR S.A.</t>
  </si>
  <si>
    <t>BPZ EXPLORACIÓN &amp; PRODUCCION SRL</t>
  </si>
  <si>
    <t>TOYOTA DEL PERU S.A.</t>
  </si>
  <si>
    <t>Comercio al por mayor y al por menor y reparación de vehículos automotores y motocicletas</t>
  </si>
  <si>
    <t>Venta de vehículos automotores</t>
  </si>
  <si>
    <t>4510</t>
  </si>
  <si>
    <t>CONCESIONARIA VIAL DEL PERÚ S.A.</t>
  </si>
  <si>
    <t>Actividades de apoyo al transporte</t>
  </si>
  <si>
    <t>5221</t>
  </si>
  <si>
    <t>Actividades de servicios vinculadas al transporte terrestre</t>
  </si>
  <si>
    <t>CORPORACION MISTI S.A.</t>
  </si>
  <si>
    <t>GOLD FIELDS LA CIMA S.A.</t>
  </si>
  <si>
    <t>PRIMAX S.A.</t>
  </si>
  <si>
    <t>4661</t>
  </si>
  <si>
    <t>Venta al por mayor de combustible sólidos, líquidos y gaseosos y productos conexos</t>
  </si>
  <si>
    <t>FONDO MI VIVIENDA S.A.</t>
  </si>
  <si>
    <t>K</t>
  </si>
  <si>
    <t>Actividades financieras y de seguros</t>
  </si>
  <si>
    <t>Actividades de servicios financieros, excepto las de seguros y fondos de pensiones</t>
  </si>
  <si>
    <t>Otras actividades de servicios financieros, excepto las de seguros y fondos de pensiones</t>
  </si>
  <si>
    <t>6499</t>
  </si>
  <si>
    <t>Otras actividades de servicios financieros, excepto las de seguros y fondos de pensiones, n.c.p</t>
  </si>
  <si>
    <t xml:space="preserve">SERPAR </t>
  </si>
  <si>
    <t>R</t>
  </si>
  <si>
    <t>Actividades artísticas, de espacimiento y deportivas</t>
  </si>
  <si>
    <t>Otras actividades de esparcimiento y rereativas</t>
  </si>
  <si>
    <t>9329</t>
  </si>
  <si>
    <t>Otras actividades de esparcimiento y recreativas n.c.p</t>
  </si>
  <si>
    <t>CONSORCIO CONCESION VIAL DEL SUR</t>
  </si>
  <si>
    <t>F</t>
  </si>
  <si>
    <t>Construccion</t>
  </si>
  <si>
    <t>Obras de ingenieria Civil</t>
  </si>
  <si>
    <t>Construccion de carreteras y vias de ferrocarril</t>
  </si>
  <si>
    <t>MINERA LA ZANJA  S.R.L.</t>
  </si>
  <si>
    <t>MINERA SUYAMARCA S.A.C.</t>
  </si>
  <si>
    <t>PERALES HUANCARUNA S.A.C.</t>
  </si>
  <si>
    <t>Elaboración de productos alimenticios</t>
  </si>
  <si>
    <t>Elaboración de productos de molinería, almidones y productos derivados del almidón</t>
  </si>
  <si>
    <t>1061</t>
  </si>
  <si>
    <t>Elaboración de productos de molinería</t>
  </si>
  <si>
    <t>SOLGAS S.A.</t>
  </si>
  <si>
    <t>COMPAÑIA MINERA COIMOLACHE S.A.</t>
  </si>
  <si>
    <t>EMPRESAS COMERCIALES S.A.</t>
  </si>
  <si>
    <t>4771</t>
  </si>
  <si>
    <t>Venta al por menor de prendas de vestir, calzado y artículos de cuero en comercios especializados</t>
  </si>
  <si>
    <t>EUROMOTORS S.A.</t>
  </si>
  <si>
    <t>Extracción de gas natural</t>
  </si>
  <si>
    <t>0620</t>
  </si>
  <si>
    <t>ENEL DISTRIBUCION PERU  S.A.A.</t>
  </si>
  <si>
    <t>VOLVO PERÚ S.A.</t>
  </si>
  <si>
    <t>DSM NUTRITIONAL PRODUCTS PERÚ S.A.</t>
  </si>
  <si>
    <t>GENERAL MOTORS PERU S.A.</t>
  </si>
  <si>
    <t>EPSON PERU S.A.</t>
  </si>
  <si>
    <t>Venta al por mayor de maquinaria, equipo y materiales</t>
  </si>
  <si>
    <t>4659</t>
  </si>
  <si>
    <t>Venta al por mayor de otros tipos de maquinaria y equipo</t>
  </si>
  <si>
    <t>CONSORCIO CONSTRUCTOR IIRSA NORTE</t>
  </si>
  <si>
    <t>Construcción</t>
  </si>
  <si>
    <t>Actividades especializadas de construcción</t>
  </si>
  <si>
    <t>Otras actividades especializadas de construcción</t>
  </si>
  <si>
    <t>4390</t>
  </si>
  <si>
    <t>DEPOSITOS S.A.</t>
  </si>
  <si>
    <t>CONSORCIO MINERO S.A. EN LIQUIDACIÓN</t>
  </si>
  <si>
    <t>PESQUERA NIROCI S.A.C.</t>
  </si>
  <si>
    <t>A</t>
  </si>
  <si>
    <t>Agricultura, ganadería, silvicultura y pesca</t>
  </si>
  <si>
    <t>Pesca y acuicultura</t>
  </si>
  <si>
    <t>Pesca</t>
  </si>
  <si>
    <t>0311</t>
  </si>
  <si>
    <t>Pesca marítima</t>
  </si>
  <si>
    <t xml:space="preserve">LA ARENA S.A. </t>
  </si>
  <si>
    <t>GALVAO ENGENHARIA S.A.</t>
  </si>
  <si>
    <t xml:space="preserve">CONSORCIO ROLAND PRINT </t>
  </si>
  <si>
    <t>CORPORACION PRIMAX S.A.</t>
  </si>
  <si>
    <t>VF PERU S.A.</t>
  </si>
  <si>
    <t>Venta al por mayor de enseres domésticos</t>
  </si>
  <si>
    <t>4641</t>
  </si>
  <si>
    <t>Venta al por mayor de productos textiles, prendas de vestir y calzado</t>
  </si>
  <si>
    <t>POLYTEX S.A.</t>
  </si>
  <si>
    <t>HIDROELECTRICA HUANCHOR S.A.C.</t>
  </si>
  <si>
    <t>GTECH PERU S.A.</t>
  </si>
  <si>
    <t>Construcción de edificios</t>
  </si>
  <si>
    <t>4100</t>
  </si>
  <si>
    <t>CONCESIONARIA VIAL DEL SOL S.A.</t>
  </si>
  <si>
    <t>TITAN CONTRATISTAS GENERALES S.A.C.</t>
  </si>
  <si>
    <t>INVERSIONES CENTENARIO S.A.A.</t>
  </si>
  <si>
    <t>L</t>
  </si>
  <si>
    <t>Actividades inmobiliarias</t>
  </si>
  <si>
    <t>Actividades inmobiliarias realizadas con bienes propios o arrendados</t>
  </si>
  <si>
    <t>6810</t>
  </si>
  <si>
    <t>DEUTSCHE BANK PERU S.A.</t>
  </si>
  <si>
    <t>Intermediación monetaria</t>
  </si>
  <si>
    <t>6419</t>
  </si>
  <si>
    <t>Otros tipos de intermediación monetaria</t>
  </si>
  <si>
    <t>UNION DE CERVECERIAS PERUANAS BACKUS Y JOHNSTON S.A.A.</t>
  </si>
  <si>
    <t>KALLPA GENERACION S.A.</t>
  </si>
  <si>
    <t>PROCESADORA SUDAMERICANA S.R.L.</t>
  </si>
  <si>
    <t>Fabricación de metales comunes</t>
  </si>
  <si>
    <t>Fundición de metales</t>
  </si>
  <si>
    <t>2432</t>
  </si>
  <si>
    <t>Fundición de metales no ferrosos</t>
  </si>
  <si>
    <t>MC AUTOS DEL PERU S.A.</t>
  </si>
  <si>
    <t>CONCAY S.A. SUCURSAL PERU</t>
  </si>
  <si>
    <t>Obras de ingeniería civil</t>
  </si>
  <si>
    <t>Construcción de otras obras de ingeniería civil</t>
  </si>
  <si>
    <t>4290</t>
  </si>
  <si>
    <t>Construcción de otras obras de ingeniera civil</t>
  </si>
  <si>
    <t>INDUSTRIAS ROLAND PRINT S.A.C.</t>
  </si>
  <si>
    <t>Otras industrias manufactureras</t>
  </si>
  <si>
    <t>Fabricación de juegos y juguetes</t>
  </si>
  <si>
    <t>3240</t>
  </si>
  <si>
    <t>MINERA AURIFERA RETAMAS S.A.</t>
  </si>
  <si>
    <t>R.H. ADMINISTRACIONES S.A.</t>
  </si>
  <si>
    <t>METRO DE LIMA LINEA 2 S.A.</t>
  </si>
  <si>
    <t>Transporte por vía terrestre y transporte por tuberías</t>
  </si>
  <si>
    <t>Transporte por ferrocarril</t>
  </si>
  <si>
    <t>4911</t>
  </si>
  <si>
    <t>Transporte interurbano de pasajeros por ferrocarril</t>
  </si>
  <si>
    <t>CARTAVIO RUM COMPANY S.A.C.</t>
  </si>
  <si>
    <t>1101</t>
  </si>
  <si>
    <t>Destilación, rectificación y mezcla de bebidas alcohólicas</t>
  </si>
  <si>
    <t>NAVIERA ORIENTE S.A.C.</t>
  </si>
  <si>
    <t>Transporte por vía acuática</t>
  </si>
  <si>
    <t>Transporte por vías de navegación interiores</t>
  </si>
  <si>
    <t>5022</t>
  </si>
  <si>
    <t>Transporte de carga por vías de navegación  de interiores</t>
  </si>
  <si>
    <t xml:space="preserve">GOBESA INGENIEROS S.A.C. </t>
  </si>
  <si>
    <t>AKZO NOBEL PERU S.A.C.</t>
  </si>
  <si>
    <t>Fabricación de sustancias y productos químicos</t>
  </si>
  <si>
    <t>Fabricación de sustancias químicas básicas, de abonos y compuestos de nitrógeno y de plásticos y caucho sintético en formas primarias</t>
  </si>
  <si>
    <t>2011</t>
  </si>
  <si>
    <t>Fabricación de sustancias químicas básicas</t>
  </si>
  <si>
    <t>MOLY-COP ADESUR S.A.</t>
  </si>
  <si>
    <t>MINERA SHOUXIN PERU S.A.</t>
  </si>
  <si>
    <t>LIMA AIRPORT PARTNERS S.R.L.</t>
  </si>
  <si>
    <t>5223</t>
  </si>
  <si>
    <t>Actividades de servicios vinculadas al transporte aéreo</t>
  </si>
  <si>
    <t>OMNILIFE PERU S.A.C.</t>
  </si>
  <si>
    <t>HONDA DEL PERU S.A.</t>
  </si>
  <si>
    <t>COMPAÑIA MINERA PODEROSA S.A.</t>
  </si>
  <si>
    <t>CORPORACION FORTUNA S.A.</t>
  </si>
  <si>
    <t>MULTIMEDICAL SUPPLIES S.A.C.</t>
  </si>
  <si>
    <t>AFP INTEGRA S.A.</t>
  </si>
  <si>
    <t>6530</t>
  </si>
  <si>
    <t>Fondos de Pensiones</t>
  </si>
  <si>
    <t>SUMMA GOLD CORPORATION S.A.C.</t>
  </si>
  <si>
    <t>RINTI S.A.</t>
  </si>
  <si>
    <t>1080</t>
  </si>
  <si>
    <t>Elaboración de piensos preparados para animales</t>
  </si>
  <si>
    <t>STOLLER PERÚ S.A.</t>
  </si>
  <si>
    <t>2012</t>
  </si>
  <si>
    <t>Fabricación de abonos y compuestos de nitrogeno</t>
  </si>
  <si>
    <t>CARGILL AMERICAS PERU S.R.L.</t>
  </si>
  <si>
    <t>CONSTRUCCIONES E INVERSIONES ALPAMA S.A.</t>
  </si>
  <si>
    <t>COMERCIAL IMPORTADORA SUDAMERICANA S.A.C.</t>
  </si>
  <si>
    <t>Comercio al por mayor y menor /venta al por menor de productos farmaceúticos</t>
  </si>
  <si>
    <t>UNILEVER ANDINA PERU S.A.</t>
  </si>
  <si>
    <t>DISPERCOL S.A.</t>
  </si>
  <si>
    <t>INMOBILIARIA MIRAFLORES PERU S.A.C.</t>
  </si>
  <si>
    <t>GOULDS PUMPS NY INC.SUCURSAL DEL PERU</t>
  </si>
  <si>
    <t>Comercio al por menor, excepto el comercio de vehículos automotores y motocicletas</t>
  </si>
  <si>
    <t>Venta al por menor de otros productos nuevos en comercios especializados</t>
  </si>
  <si>
    <t>GAVILON PERU S.R.L.</t>
  </si>
  <si>
    <t>DISTRIBUIDORA DEPORTIVA PUMA S.A.C.</t>
  </si>
  <si>
    <t>TEXCOPE S.A.C.</t>
  </si>
  <si>
    <t>J.R. STEEL COMPANY S.A.C.</t>
  </si>
  <si>
    <t>SHAHUINDO S.A.C.</t>
  </si>
  <si>
    <t>MIROMINA S.A.</t>
  </si>
  <si>
    <t>OXIDOS DE PASCO S.A.C.</t>
  </si>
  <si>
    <t>Extracción de Petroleo</t>
  </si>
  <si>
    <t>EQUILIBRA PERÚ S.A.</t>
  </si>
  <si>
    <t>TRIPLEX INVERSIONES S.A.</t>
  </si>
  <si>
    <t>AMAPOLA 5 S.A.C.</t>
  </si>
  <si>
    <t>EMPRESA SIDERURGICA DEL PERÚ S.A.A.</t>
  </si>
  <si>
    <t>Industrias Básicas de Hierro y Acero División</t>
  </si>
  <si>
    <t>Fabricación de Productos Metálicos</t>
  </si>
  <si>
    <t>ALPAYANA S.A.</t>
  </si>
  <si>
    <t>CORRALES CENTER S.A.C.</t>
  </si>
  <si>
    <t xml:space="preserve">VIDRIERIA LIMATAMBO S.A.C. </t>
  </si>
  <si>
    <t>BRIDGESTONE MINING SOLUTIONS PERÚ S.A.C.</t>
  </si>
  <si>
    <t>VALERO PERÚ S.A.C.</t>
  </si>
  <si>
    <t>COMPAÑIA MINERA ANTAPACCAY S.A.</t>
  </si>
  <si>
    <t>NOVOPAN DEL PERU S.A.C.</t>
  </si>
  <si>
    <t>SERVICIOS CONTRERAS MARIBEL  E.I.R.L.</t>
  </si>
  <si>
    <t>09</t>
  </si>
  <si>
    <t>Actividades del servicio de apoyo para la explotacion de minas y canteras</t>
  </si>
  <si>
    <t>099</t>
  </si>
  <si>
    <t>0990</t>
  </si>
  <si>
    <t>HAPAG-LLOYD (PERU) S.A.C.</t>
  </si>
  <si>
    <t>Actividades de servicios vinculadas al transporte Acuático</t>
  </si>
  <si>
    <t>SQM VITAS PERU S.A.C.</t>
  </si>
  <si>
    <t>INKA AGRI RESOURCES S.A.C.</t>
  </si>
  <si>
    <t>ENEL GENERACION PIURA S.A.</t>
  </si>
  <si>
    <t>EMPRESA DE GENERACION ELECTRICA DE AREQUIPA S.A.</t>
  </si>
  <si>
    <t>MACROSOURCE PERÚ S.R.L</t>
  </si>
  <si>
    <t>AMERICATEL PERÚ S.A.</t>
  </si>
  <si>
    <t>19</t>
  </si>
  <si>
    <t>Fabricación de coque y productos de refinación de petroleo</t>
  </si>
  <si>
    <t>Fabricación de productos de la refinación de petroleo</t>
  </si>
  <si>
    <t>BOSQUES AMAZÓNICOS S.A.</t>
  </si>
  <si>
    <t>Agricultura,ganadería,silvicultura y pesca</t>
  </si>
  <si>
    <t>A Silvicultura y extracción de madera</t>
  </si>
  <si>
    <t>02</t>
  </si>
  <si>
    <t>Silvicultura y otras actividades forestales</t>
  </si>
  <si>
    <t>02 Silvicultura y otras actividades forestales</t>
  </si>
  <si>
    <t>0210</t>
  </si>
  <si>
    <t>COMPAÑIA MINERA MISKI MAYO S.R.L.</t>
  </si>
  <si>
    <t>CONSORCIO EMPRESARIAL AGNAV S.A.</t>
  </si>
  <si>
    <t>H Transporte y almacenamiento</t>
  </si>
  <si>
    <t xml:space="preserve"> Actividades de apoyo al transporte</t>
  </si>
  <si>
    <t>5229</t>
  </si>
  <si>
    <t>Otras actividades de apoyo al transporte</t>
  </si>
  <si>
    <t>AMERICA MOVIL PERU S.A.C.</t>
  </si>
  <si>
    <t>Otras actividades de Telecomunicaciones</t>
  </si>
  <si>
    <t>Otras actividades de Telecomunicación</t>
  </si>
  <si>
    <t>TERMOCHILCA S.A.C.</t>
  </si>
  <si>
    <t>MARCOBRE S.A.C.</t>
  </si>
  <si>
    <t>ORBIS VENTURE S.A.C.</t>
  </si>
  <si>
    <t>Actividades de servicios de información</t>
  </si>
  <si>
    <t>Procesamiento de datos, hospedaje y actividades conexas; portales web</t>
  </si>
  <si>
    <t>6311</t>
  </si>
  <si>
    <t xml:space="preserve"> Procesamiento de datos, hospedaje y actividades conexas</t>
  </si>
  <si>
    <t>CORI PUNO S.R.L</t>
  </si>
  <si>
    <t>TRANSPORTADORA DE GAS DEL PERU S.A.</t>
  </si>
  <si>
    <t>Transporte por tuberías</t>
  </si>
  <si>
    <t>4930</t>
  </si>
  <si>
    <t>Transporte por Tuberias</t>
  </si>
  <si>
    <t>ANGLO AMERICAN QUELLAVECO S.A</t>
  </si>
  <si>
    <t>INSTAPLAC S.A.</t>
  </si>
  <si>
    <t>Industrias manufactureras</t>
  </si>
  <si>
    <t>Producción de madera y fabricación de productos de madera y corcho, excepto muebles; fabricación de artículos
de paja y de materiales trenzables</t>
  </si>
  <si>
    <t xml:space="preserve"> Fabricación de productos de madera, corcho, paja y materiales trenzables</t>
  </si>
  <si>
    <t>1622</t>
  </si>
  <si>
    <t xml:space="preserve"> Fabricación de partes y piezas de carpintería para edificios y construcciones</t>
  </si>
  <si>
    <t>TÉCNICAS REUNIDAS DE TALARA S.A.C</t>
  </si>
  <si>
    <t>HUDBAY PERU S.A.C.</t>
  </si>
  <si>
    <t>TERPEL COMERCIAL DEL PERU S.R.L.</t>
  </si>
  <si>
    <t>ORYGEN PERU S.A.A.</t>
  </si>
  <si>
    <t>HONDA SELVA DEL PERU S.A.</t>
  </si>
  <si>
    <t>Fabricacion de otro equipo de transporte</t>
  </si>
  <si>
    <t>30 Fabricacion de otro equipo de transporte</t>
  </si>
  <si>
    <t>Fabricacion de equipo de transporte n.c.p.</t>
  </si>
  <si>
    <t>3091</t>
  </si>
  <si>
    <t>Fabricacion de Motocicletas</t>
  </si>
  <si>
    <t>3091 Fabricacion de Motocicletas</t>
  </si>
  <si>
    <t xml:space="preserve">
20100192064</t>
  </si>
  <si>
    <t xml:space="preserve">CONSORCIO EMPRESARIAL AGNAV S.A. </t>
  </si>
  <si>
    <t>CONSUR TRADING S.A.C.</t>
  </si>
  <si>
    <t>OHIO NATIONAL SEGUROS DE VIDA Y REASEGUROS S.A.</t>
  </si>
  <si>
    <t>Actividades Financieras y de Seguros</t>
  </si>
  <si>
    <t>K Actividades Financieras y de Seguros</t>
  </si>
  <si>
    <t>65 Actividades de servicios financieros, excepto las de seguros y fondos de pensiones</t>
  </si>
  <si>
    <t>Seguros</t>
  </si>
  <si>
    <t>6511</t>
  </si>
  <si>
    <t>Seguros de vida</t>
  </si>
  <si>
    <t>6511 Seguros de vida</t>
  </si>
  <si>
    <t>MINERA BOROO MISQUICHILCA S.A.</t>
  </si>
  <si>
    <t>EMPRESA DE GENERACION ELECTRICA  MACHUPICCHU S.A.</t>
  </si>
  <si>
    <t>CNPC PERU S.A.</t>
  </si>
  <si>
    <t>CONSORCIO MINERO HORIZONTE S.R.L.</t>
  </si>
  <si>
    <t>VIETTEL PERU S.A.C.</t>
  </si>
  <si>
    <t>Informacion y comunicaciones</t>
  </si>
  <si>
    <t>J Informacion y comunicaciones</t>
  </si>
  <si>
    <t>61</t>
  </si>
  <si>
    <t>611 Actividades de comunicacion inalambricas</t>
  </si>
  <si>
    <t>Actividades de comunicacion inalambricas</t>
  </si>
  <si>
    <t>6120</t>
  </si>
  <si>
    <t>6120 Actividades de comunicacion inalambricas</t>
  </si>
  <si>
    <t>APORTES DEPOSITADOS A FONDOEMPLEO</t>
  </si>
  <si>
    <t>CAL &amp; CEMENTO SUR S.A.</t>
  </si>
  <si>
    <t>REPSOL EXPLORACION PERU SUCURSAL DEL PERU</t>
  </si>
  <si>
    <t>UNACEMCORP S.A.A.</t>
  </si>
  <si>
    <t>EMPRESA MINERA LOS QUENUALES S.A.C.</t>
  </si>
  <si>
    <t>SAMAY I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</si>
</sst>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0"/>
      <name val="Arial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09C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4" fillId="3" borderId="3" xfId="3" applyFont="1" applyFill="1" applyBorder="1" applyAlignment="1">
      <alignment vertical="center" wrapText="1"/>
    </xf>
    <xf numFmtId="164" fontId="5" fillId="0" borderId="0" xfId="3" applyFont="1" applyAlignment="1">
      <alignment vertical="center"/>
    </xf>
    <xf numFmtId="2" fontId="5" fillId="3" borderId="0" xfId="0" applyNumberFormat="1" applyFont="1" applyFill="1" applyAlignment="1">
      <alignment vertical="center"/>
    </xf>
    <xf numFmtId="2" fontId="5" fillId="3" borderId="1" xfId="0" applyNumberFormat="1" applyFont="1" applyFill="1" applyBorder="1" applyAlignment="1">
      <alignment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left" vertical="center" wrapText="1"/>
    </xf>
    <xf numFmtId="2" fontId="5" fillId="3" borderId="2" xfId="0" quotePrefix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4" fontId="2" fillId="2" borderId="1" xfId="3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4" borderId="0" xfId="0" applyNumberFormat="1" applyFon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vertical="center" wrapText="1"/>
    </xf>
    <xf numFmtId="2" fontId="4" fillId="4" borderId="3" xfId="0" applyNumberFormat="1" applyFont="1" applyFill="1" applyBorder="1" applyAlignment="1">
      <alignment vertical="center" wrapText="1"/>
    </xf>
    <xf numFmtId="2" fontId="5" fillId="4" borderId="1" xfId="0" applyNumberFormat="1" applyFont="1" applyFill="1" applyBorder="1" applyAlignment="1">
      <alignment horizontal="left" vertical="center" wrapText="1"/>
    </xf>
    <xf numFmtId="2" fontId="5" fillId="4" borderId="2" xfId="0" quotePrefix="1" applyNumberFormat="1" applyFont="1" applyFill="1" applyBorder="1" applyAlignment="1">
      <alignment horizontal="center" vertical="center" wrapText="1"/>
    </xf>
    <xf numFmtId="164" fontId="4" fillId="4" borderId="3" xfId="3" applyFont="1" applyFill="1" applyBorder="1" applyAlignment="1">
      <alignment vertical="center" wrapText="1"/>
    </xf>
    <xf numFmtId="2" fontId="7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 wrapText="1"/>
    </xf>
    <xf numFmtId="164" fontId="8" fillId="3" borderId="3" xfId="3" applyFont="1" applyFill="1" applyBorder="1" applyAlignment="1">
      <alignment vertical="center" wrapText="1"/>
    </xf>
    <xf numFmtId="2" fontId="7" fillId="3" borderId="0" xfId="0" applyNumberFormat="1" applyFont="1" applyFill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1" fontId="7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left" vertical="center" wrapText="1"/>
    </xf>
    <xf numFmtId="2" fontId="5" fillId="0" borderId="2" xfId="0" quotePrefix="1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3" xfId="3" applyFont="1" applyFill="1" applyBorder="1" applyAlignment="1">
      <alignment vertical="center" wrapText="1"/>
    </xf>
    <xf numFmtId="2" fontId="2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4" fillId="0" borderId="3" xfId="3" applyFont="1" applyFill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</cellXfs>
  <cellStyles count="4">
    <cellStyle name="Millares" xfId="3" builtinId="3"/>
    <cellStyle name="Normal" xfId="0" builtinId="0"/>
    <cellStyle name="Normal 135" xfId="2" xr:uid="{C43BD61D-EE7E-4E0B-9493-382831755EED}"/>
    <cellStyle name="Normal 3" xfId="1" xr:uid="{0C0BA57F-7A8E-48E8-A077-903B6C1D21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Ricra Ledesma" id="{A30F2C2C-24D8-443C-ACB3-7A4D4726D1F0}" userId="S::pricra@fondoempleo.com.pe::a61f6c10-24f5-4ed6-a4f0-a1bce1a3dc7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4" dT="2026-03-17T13:13:25.71" personId="{A30F2C2C-24D8-443C-ACB3-7A4D4726D1F0}" id="{27C88361-DBD6-4DC5-8D1B-FA1E915356A8}">
    <text xml:space="preserve">Deposito no identificado, se asignó a MINSUR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F8BC-869C-47D3-B617-CC815FD5473D}">
  <dimension ref="A1:P606"/>
  <sheetViews>
    <sheetView tabSelected="1" topLeftCell="B1" workbookViewId="0">
      <selection activeCell="B7" sqref="B7"/>
    </sheetView>
  </sheetViews>
  <sheetFormatPr baseColWidth="10" defaultColWidth="34.109375" defaultRowHeight="12" x14ac:dyDescent="0.25"/>
  <cols>
    <col min="1" max="1" width="7.109375" style="5" hidden="1" customWidth="1"/>
    <col min="2" max="2" width="54.33203125" style="6" customWidth="1"/>
    <col min="3" max="3" width="18.44140625" style="7" customWidth="1"/>
    <col min="4" max="4" width="13.88671875" style="5" customWidth="1"/>
    <col min="5" max="5" width="18.33203125" style="5" customWidth="1"/>
    <col min="6" max="7" width="31.44140625" style="8" customWidth="1"/>
    <col min="8" max="8" width="10.44140625" style="5" customWidth="1"/>
    <col min="9" max="9" width="54.88671875" style="9" customWidth="1"/>
    <col min="10" max="10" width="46.6640625" style="9" customWidth="1"/>
    <col min="11" max="11" width="7.88671875" style="5" customWidth="1"/>
    <col min="12" max="12" width="32.33203125" style="5" customWidth="1"/>
    <col min="13" max="13" width="9.109375" style="5" customWidth="1"/>
    <col min="14" max="14" width="65.109375" style="5" customWidth="1"/>
    <col min="15" max="15" width="34.109375" style="5" customWidth="1"/>
    <col min="16" max="16" width="28" style="11" customWidth="1"/>
    <col min="17" max="151" width="34.109375" style="5"/>
    <col min="152" max="152" width="10.6640625" style="5" bestFit="1" customWidth="1"/>
    <col min="153" max="16384" width="34.109375" style="5"/>
  </cols>
  <sheetData>
    <row r="1" spans="1:16" s="4" customFormat="1" ht="24" x14ac:dyDescent="0.25">
      <c r="A1" s="1" t="s">
        <v>0</v>
      </c>
      <c r="B1" s="1" t="s">
        <v>1</v>
      </c>
      <c r="C1" s="2" t="s">
        <v>2</v>
      </c>
      <c r="D1" s="3" t="s">
        <v>3</v>
      </c>
      <c r="E1" s="56" t="s">
        <v>4</v>
      </c>
      <c r="F1" s="56" t="s">
        <v>5</v>
      </c>
      <c r="G1" s="57" t="s">
        <v>6</v>
      </c>
      <c r="H1" s="58" t="s">
        <v>7</v>
      </c>
      <c r="I1" s="59" t="s">
        <v>8</v>
      </c>
      <c r="J1" s="60" t="s">
        <v>9</v>
      </c>
      <c r="K1" s="61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20" t="s">
        <v>400</v>
      </c>
    </row>
    <row r="2" spans="1:16" s="12" customFormat="1" ht="36" x14ac:dyDescent="0.25">
      <c r="B2" s="13" t="s">
        <v>130</v>
      </c>
      <c r="C2" s="19">
        <v>2009</v>
      </c>
      <c r="D2" s="38">
        <v>20100000335</v>
      </c>
      <c r="E2" s="14" t="s">
        <v>42</v>
      </c>
      <c r="F2" s="15" t="s">
        <v>43</v>
      </c>
      <c r="G2" s="16" t="str">
        <f t="shared" ref="G2:G33" si="0">E2&amp;" "&amp;F2</f>
        <v>G Comercio al por mayor y al por menor; reparación de vehículos automotores y motocicletas</v>
      </c>
      <c r="H2" s="14" t="str">
        <f t="shared" ref="H2:H14" si="1">LEFT(K2,2)</f>
        <v>46</v>
      </c>
      <c r="I2" s="17" t="s">
        <v>44</v>
      </c>
      <c r="J2" s="17" t="str">
        <f t="shared" ref="J2:J65" si="2">H2&amp;" "&amp;I2</f>
        <v>46 Comercio al por mayor, excepto el de vehículos automotores y motocicletas</v>
      </c>
      <c r="K2" s="14" t="str">
        <f t="shared" ref="K2:K14" si="3">LEFT(M2,3)</f>
        <v>466</v>
      </c>
      <c r="L2" s="15" t="s">
        <v>59</v>
      </c>
      <c r="M2" s="18" t="s">
        <v>60</v>
      </c>
      <c r="N2" s="15" t="s">
        <v>61</v>
      </c>
      <c r="O2" s="16" t="str">
        <f t="shared" ref="O2:O65" si="4">M2&amp;" "&amp;N2</f>
        <v>4663 Venta al por mayor de materiales de construcción, artículos de ferretería y equipo y materiales de fontanería y calefacción</v>
      </c>
      <c r="P2" s="10">
        <v>85623.42</v>
      </c>
    </row>
    <row r="3" spans="1:16" s="12" customFormat="1" ht="36" x14ac:dyDescent="0.25">
      <c r="B3" s="13" t="s">
        <v>288</v>
      </c>
      <c r="C3" s="19">
        <v>2022</v>
      </c>
      <c r="D3" s="38">
        <v>20100003946</v>
      </c>
      <c r="E3" s="14" t="s">
        <v>42</v>
      </c>
      <c r="F3" s="15" t="s">
        <v>43</v>
      </c>
      <c r="G3" s="16" t="str">
        <f t="shared" si="0"/>
        <v>G Comercio al por mayor y al por menor; reparación de vehículos automotores y motocicletas</v>
      </c>
      <c r="H3" s="14" t="str">
        <f t="shared" si="1"/>
        <v>46</v>
      </c>
      <c r="I3" s="17" t="s">
        <v>44</v>
      </c>
      <c r="J3" s="17" t="str">
        <f t="shared" si="2"/>
        <v>46 Comercio al por mayor, excepto el de vehículos automotores y motocicletas</v>
      </c>
      <c r="K3" s="14" t="str">
        <f t="shared" si="3"/>
        <v>469</v>
      </c>
      <c r="L3" s="15" t="s">
        <v>45</v>
      </c>
      <c r="M3" s="18" t="s">
        <v>46</v>
      </c>
      <c r="N3" s="15" t="s">
        <v>45</v>
      </c>
      <c r="O3" s="16" t="str">
        <f t="shared" si="4"/>
        <v>4690 Venta al por mayor no especializada</v>
      </c>
      <c r="P3" s="10">
        <v>9989.14</v>
      </c>
    </row>
    <row r="4" spans="1:16" s="12" customFormat="1" x14ac:dyDescent="0.25">
      <c r="B4" s="13" t="s">
        <v>94</v>
      </c>
      <c r="C4" s="19">
        <v>2006</v>
      </c>
      <c r="D4" s="38">
        <v>20100017491</v>
      </c>
      <c r="E4" s="14" t="s">
        <v>95</v>
      </c>
      <c r="F4" s="15" t="s">
        <v>96</v>
      </c>
      <c r="G4" s="16" t="str">
        <f t="shared" si="0"/>
        <v>J Información y comunicaciones</v>
      </c>
      <c r="H4" s="14" t="str">
        <f t="shared" si="1"/>
        <v>61</v>
      </c>
      <c r="I4" s="17" t="s">
        <v>97</v>
      </c>
      <c r="J4" s="17" t="str">
        <f t="shared" si="2"/>
        <v>61 Telecomunicaciones</v>
      </c>
      <c r="K4" s="14" t="str">
        <f t="shared" si="3"/>
        <v>619</v>
      </c>
      <c r="L4" s="15" t="s">
        <v>98</v>
      </c>
      <c r="M4" s="18" t="s">
        <v>99</v>
      </c>
      <c r="N4" s="15" t="s">
        <v>98</v>
      </c>
      <c r="O4" s="16" t="str">
        <f t="shared" si="4"/>
        <v>6190 Otras actividades de telecomunicaciones</v>
      </c>
      <c r="P4" s="10">
        <v>4865.13</v>
      </c>
    </row>
    <row r="5" spans="1:16" s="12" customFormat="1" x14ac:dyDescent="0.25">
      <c r="B5" s="13" t="s">
        <v>94</v>
      </c>
      <c r="C5" s="19">
        <v>2007</v>
      </c>
      <c r="D5" s="38">
        <v>20100017491</v>
      </c>
      <c r="E5" s="14" t="s">
        <v>95</v>
      </c>
      <c r="F5" s="15" t="s">
        <v>96</v>
      </c>
      <c r="G5" s="16" t="str">
        <f t="shared" si="0"/>
        <v>J Información y comunicaciones</v>
      </c>
      <c r="H5" s="14" t="str">
        <f t="shared" si="1"/>
        <v>61</v>
      </c>
      <c r="I5" s="17" t="s">
        <v>97</v>
      </c>
      <c r="J5" s="17" t="str">
        <f t="shared" si="2"/>
        <v>61 Telecomunicaciones</v>
      </c>
      <c r="K5" s="14" t="str">
        <f t="shared" si="3"/>
        <v>619</v>
      </c>
      <c r="L5" s="15" t="s">
        <v>98</v>
      </c>
      <c r="M5" s="18" t="s">
        <v>99</v>
      </c>
      <c r="N5" s="15" t="s">
        <v>98</v>
      </c>
      <c r="O5" s="16" t="str">
        <f t="shared" si="4"/>
        <v>6190 Otras actividades de telecomunicaciones</v>
      </c>
      <c r="P5" s="10">
        <v>334472.59000000003</v>
      </c>
    </row>
    <row r="6" spans="1:16" s="12" customFormat="1" ht="24" x14ac:dyDescent="0.25">
      <c r="B6" s="13" t="s">
        <v>100</v>
      </c>
      <c r="C6" s="19">
        <v>2007</v>
      </c>
      <c r="D6" s="38">
        <v>20100017572</v>
      </c>
      <c r="E6" s="14" t="s">
        <v>16</v>
      </c>
      <c r="F6" s="15" t="s">
        <v>17</v>
      </c>
      <c r="G6" s="16" t="str">
        <f t="shared" si="0"/>
        <v>B Explotación de minas y canteras</v>
      </c>
      <c r="H6" s="14" t="str">
        <f t="shared" si="1"/>
        <v>07</v>
      </c>
      <c r="I6" s="17" t="s">
        <v>18</v>
      </c>
      <c r="J6" s="17" t="str">
        <f t="shared" si="2"/>
        <v>07 Extracción de minerales metalíferos</v>
      </c>
      <c r="K6" s="14" t="str">
        <f t="shared" si="3"/>
        <v>072</v>
      </c>
      <c r="L6" s="15" t="s">
        <v>19</v>
      </c>
      <c r="M6" s="18" t="s">
        <v>20</v>
      </c>
      <c r="N6" s="15" t="s">
        <v>21</v>
      </c>
      <c r="O6" s="16" t="str">
        <f t="shared" si="4"/>
        <v>0729 Extracción de otros minerales metalíferos no ferrosos</v>
      </c>
      <c r="P6" s="10">
        <v>9099096</v>
      </c>
    </row>
    <row r="7" spans="1:16" s="12" customFormat="1" ht="24" x14ac:dyDescent="0.25">
      <c r="B7" s="13" t="s">
        <v>100</v>
      </c>
      <c r="C7" s="19">
        <v>2008</v>
      </c>
      <c r="D7" s="38">
        <v>20100017572</v>
      </c>
      <c r="E7" s="14" t="s">
        <v>16</v>
      </c>
      <c r="F7" s="15" t="s">
        <v>17</v>
      </c>
      <c r="G7" s="16" t="str">
        <f t="shared" si="0"/>
        <v>B Explotación de minas y canteras</v>
      </c>
      <c r="H7" s="14" t="str">
        <f t="shared" si="1"/>
        <v>07</v>
      </c>
      <c r="I7" s="17" t="s">
        <v>18</v>
      </c>
      <c r="J7" s="17" t="str">
        <f t="shared" si="2"/>
        <v>07 Extracción de minerales metalíferos</v>
      </c>
      <c r="K7" s="14" t="str">
        <f t="shared" si="3"/>
        <v>072</v>
      </c>
      <c r="L7" s="15" t="s">
        <v>19</v>
      </c>
      <c r="M7" s="18" t="s">
        <v>20</v>
      </c>
      <c r="N7" s="15" t="s">
        <v>21</v>
      </c>
      <c r="O7" s="16" t="str">
        <f t="shared" si="4"/>
        <v>0729 Extracción de otros minerales metalíferos no ferrosos</v>
      </c>
      <c r="P7" s="10">
        <v>8961214.8399999999</v>
      </c>
    </row>
    <row r="8" spans="1:16" s="12" customFormat="1" ht="24" x14ac:dyDescent="0.25">
      <c r="B8" s="13" t="s">
        <v>100</v>
      </c>
      <c r="C8" s="19">
        <v>2009</v>
      </c>
      <c r="D8" s="38">
        <v>20100017572</v>
      </c>
      <c r="E8" s="14" t="s">
        <v>16</v>
      </c>
      <c r="F8" s="15" t="s">
        <v>17</v>
      </c>
      <c r="G8" s="16" t="str">
        <f t="shared" si="0"/>
        <v>B Explotación de minas y canteras</v>
      </c>
      <c r="H8" s="14" t="str">
        <f t="shared" si="1"/>
        <v>07</v>
      </c>
      <c r="I8" s="17" t="s">
        <v>18</v>
      </c>
      <c r="J8" s="17" t="str">
        <f t="shared" si="2"/>
        <v>07 Extracción de minerales metalíferos</v>
      </c>
      <c r="K8" s="14" t="str">
        <f t="shared" si="3"/>
        <v>072</v>
      </c>
      <c r="L8" s="15" t="s">
        <v>19</v>
      </c>
      <c r="M8" s="18" t="s">
        <v>20</v>
      </c>
      <c r="N8" s="15" t="s">
        <v>21</v>
      </c>
      <c r="O8" s="16" t="str">
        <f t="shared" si="4"/>
        <v>0729 Extracción de otros minerales metalíferos no ferrosos</v>
      </c>
      <c r="P8" s="10">
        <v>686244</v>
      </c>
    </row>
    <row r="9" spans="1:16" s="12" customFormat="1" ht="24" x14ac:dyDescent="0.25">
      <c r="B9" s="13" t="s">
        <v>100</v>
      </c>
      <c r="C9" s="19">
        <v>2010</v>
      </c>
      <c r="D9" s="38">
        <v>20100017572</v>
      </c>
      <c r="E9" s="14" t="s">
        <v>16</v>
      </c>
      <c r="F9" s="15" t="s">
        <v>17</v>
      </c>
      <c r="G9" s="16" t="str">
        <f t="shared" si="0"/>
        <v>B Explotación de minas y canteras</v>
      </c>
      <c r="H9" s="14" t="str">
        <f t="shared" si="1"/>
        <v>07</v>
      </c>
      <c r="I9" s="17" t="s">
        <v>18</v>
      </c>
      <c r="J9" s="17" t="str">
        <f t="shared" si="2"/>
        <v>07 Extracción de minerales metalíferos</v>
      </c>
      <c r="K9" s="14" t="str">
        <f t="shared" si="3"/>
        <v>072</v>
      </c>
      <c r="L9" s="15" t="s">
        <v>19</v>
      </c>
      <c r="M9" s="18" t="s">
        <v>20</v>
      </c>
      <c r="N9" s="15" t="s">
        <v>21</v>
      </c>
      <c r="O9" s="16" t="str">
        <f t="shared" si="4"/>
        <v>0729 Extracción de otros minerales metalíferos no ferrosos</v>
      </c>
      <c r="P9" s="10">
        <v>351399.22</v>
      </c>
    </row>
    <row r="10" spans="1:16" s="12" customFormat="1" ht="24" x14ac:dyDescent="0.25">
      <c r="B10" s="13" t="s">
        <v>100</v>
      </c>
      <c r="C10" s="19">
        <v>2011</v>
      </c>
      <c r="D10" s="38">
        <v>20100017572</v>
      </c>
      <c r="E10" s="14" t="s">
        <v>16</v>
      </c>
      <c r="F10" s="15" t="s">
        <v>17</v>
      </c>
      <c r="G10" s="16" t="str">
        <f t="shared" si="0"/>
        <v>B Explotación de minas y canteras</v>
      </c>
      <c r="H10" s="14" t="str">
        <f t="shared" si="1"/>
        <v>07</v>
      </c>
      <c r="I10" s="17" t="s">
        <v>18</v>
      </c>
      <c r="J10" s="17" t="str">
        <f t="shared" si="2"/>
        <v>07 Extracción de minerales metalíferos</v>
      </c>
      <c r="K10" s="14" t="str">
        <f t="shared" si="3"/>
        <v>072</v>
      </c>
      <c r="L10" s="15" t="s">
        <v>19</v>
      </c>
      <c r="M10" s="18" t="s">
        <v>20</v>
      </c>
      <c r="N10" s="15" t="s">
        <v>21</v>
      </c>
      <c r="O10" s="16" t="str">
        <f t="shared" si="4"/>
        <v>0729 Extracción de otros minerales metalíferos no ferrosos</v>
      </c>
      <c r="P10" s="10">
        <v>218781.11</v>
      </c>
    </row>
    <row r="11" spans="1:16" s="12" customFormat="1" ht="24" x14ac:dyDescent="0.25">
      <c r="B11" s="13" t="s">
        <v>100</v>
      </c>
      <c r="C11" s="19">
        <v>2012</v>
      </c>
      <c r="D11" s="38">
        <v>20100017572</v>
      </c>
      <c r="E11" s="14" t="s">
        <v>16</v>
      </c>
      <c r="F11" s="15" t="s">
        <v>17</v>
      </c>
      <c r="G11" s="16" t="str">
        <f t="shared" si="0"/>
        <v>B Explotación de minas y canteras</v>
      </c>
      <c r="H11" s="14" t="str">
        <f t="shared" si="1"/>
        <v>07</v>
      </c>
      <c r="I11" s="17" t="s">
        <v>18</v>
      </c>
      <c r="J11" s="17" t="str">
        <f t="shared" si="2"/>
        <v>07 Extracción de minerales metalíferos</v>
      </c>
      <c r="K11" s="14" t="str">
        <f t="shared" si="3"/>
        <v>072</v>
      </c>
      <c r="L11" s="15" t="s">
        <v>19</v>
      </c>
      <c r="M11" s="18" t="s">
        <v>20</v>
      </c>
      <c r="N11" s="15" t="s">
        <v>21</v>
      </c>
      <c r="O11" s="16" t="str">
        <f t="shared" si="4"/>
        <v>0729 Extracción de otros minerales metalíferos no ferrosos</v>
      </c>
      <c r="P11" s="10">
        <v>547901.29999999993</v>
      </c>
    </row>
    <row r="12" spans="1:16" s="12" customFormat="1" ht="24" x14ac:dyDescent="0.25">
      <c r="B12" s="13" t="s">
        <v>57</v>
      </c>
      <c r="C12" s="19">
        <v>2005</v>
      </c>
      <c r="D12" s="38">
        <v>20100020361</v>
      </c>
      <c r="E12" s="14" t="s">
        <v>23</v>
      </c>
      <c r="F12" s="15" t="s">
        <v>24</v>
      </c>
      <c r="G12" s="16" t="str">
        <f t="shared" si="0"/>
        <v>C Industria manufacturera</v>
      </c>
      <c r="H12" s="14" t="str">
        <f t="shared" si="1"/>
        <v>23</v>
      </c>
      <c r="I12" s="17" t="s">
        <v>35</v>
      </c>
      <c r="J12" s="17" t="str">
        <f t="shared" si="2"/>
        <v>23 Fabricación de otros productos metálicos</v>
      </c>
      <c r="K12" s="14" t="str">
        <f t="shared" si="3"/>
        <v>239</v>
      </c>
      <c r="L12" s="15" t="s">
        <v>36</v>
      </c>
      <c r="M12" s="18" t="s">
        <v>37</v>
      </c>
      <c r="N12" s="15" t="s">
        <v>38</v>
      </c>
      <c r="O12" s="16" t="str">
        <f t="shared" si="4"/>
        <v>2394 Fabricación de Cemento, Cal y Yeso</v>
      </c>
      <c r="P12" s="10">
        <v>532810.62</v>
      </c>
    </row>
    <row r="13" spans="1:16" s="12" customFormat="1" ht="24" x14ac:dyDescent="0.25">
      <c r="B13" s="13" t="s">
        <v>57</v>
      </c>
      <c r="C13" s="19">
        <v>2006</v>
      </c>
      <c r="D13" s="38">
        <v>20100020361</v>
      </c>
      <c r="E13" s="14" t="s">
        <v>23</v>
      </c>
      <c r="F13" s="15" t="s">
        <v>24</v>
      </c>
      <c r="G13" s="16" t="str">
        <f t="shared" si="0"/>
        <v>C Industria manufacturera</v>
      </c>
      <c r="H13" s="14" t="str">
        <f t="shared" si="1"/>
        <v>23</v>
      </c>
      <c r="I13" s="17" t="s">
        <v>35</v>
      </c>
      <c r="J13" s="17" t="str">
        <f t="shared" si="2"/>
        <v>23 Fabricación de otros productos metálicos</v>
      </c>
      <c r="K13" s="14" t="str">
        <f t="shared" si="3"/>
        <v>239</v>
      </c>
      <c r="L13" s="15" t="s">
        <v>36</v>
      </c>
      <c r="M13" s="18" t="s">
        <v>37</v>
      </c>
      <c r="N13" s="15" t="s">
        <v>38</v>
      </c>
      <c r="O13" s="16" t="str">
        <f t="shared" si="4"/>
        <v>2394 Fabricación de Cemento, Cal y Yeso</v>
      </c>
      <c r="P13" s="10">
        <v>35244</v>
      </c>
    </row>
    <row r="14" spans="1:16" s="12" customFormat="1" ht="24" x14ac:dyDescent="0.25">
      <c r="B14" s="13" t="s">
        <v>57</v>
      </c>
      <c r="C14" s="19">
        <v>2007</v>
      </c>
      <c r="D14" s="38">
        <v>20100020361</v>
      </c>
      <c r="E14" s="14" t="s">
        <v>23</v>
      </c>
      <c r="F14" s="15" t="s">
        <v>24</v>
      </c>
      <c r="G14" s="16" t="str">
        <f t="shared" si="0"/>
        <v>C Industria manufacturera</v>
      </c>
      <c r="H14" s="14" t="str">
        <f t="shared" si="1"/>
        <v>23</v>
      </c>
      <c r="I14" s="17" t="s">
        <v>35</v>
      </c>
      <c r="J14" s="17" t="str">
        <f t="shared" si="2"/>
        <v>23 Fabricación de otros productos metálicos</v>
      </c>
      <c r="K14" s="14" t="str">
        <f t="shared" si="3"/>
        <v>239</v>
      </c>
      <c r="L14" s="15" t="s">
        <v>36</v>
      </c>
      <c r="M14" s="18" t="s">
        <v>37</v>
      </c>
      <c r="N14" s="15" t="s">
        <v>38</v>
      </c>
      <c r="O14" s="16" t="str">
        <f t="shared" si="4"/>
        <v>2394 Fabricación de Cemento, Cal y Yeso</v>
      </c>
      <c r="P14" s="10">
        <v>338390.43</v>
      </c>
    </row>
    <row r="15" spans="1:16" s="12" customFormat="1" ht="24" x14ac:dyDescent="0.25">
      <c r="B15" s="13" t="s">
        <v>101</v>
      </c>
      <c r="C15" s="19">
        <v>2007</v>
      </c>
      <c r="D15" s="38">
        <v>20100025591</v>
      </c>
      <c r="E15" s="14" t="s">
        <v>16</v>
      </c>
      <c r="F15" s="15" t="s">
        <v>17</v>
      </c>
      <c r="G15" s="16" t="str">
        <f t="shared" si="0"/>
        <v>B Explotación de minas y canteras</v>
      </c>
      <c r="H15" s="14" t="s">
        <v>102</v>
      </c>
      <c r="I15" s="17" t="s">
        <v>18</v>
      </c>
      <c r="J15" s="17" t="str">
        <f t="shared" si="2"/>
        <v>07 Extracción de minerales metalíferos</v>
      </c>
      <c r="K15" s="14" t="s">
        <v>103</v>
      </c>
      <c r="L15" s="15" t="s">
        <v>19</v>
      </c>
      <c r="M15" s="18" t="s">
        <v>20</v>
      </c>
      <c r="N15" s="15" t="s">
        <v>21</v>
      </c>
      <c r="O15" s="16" t="str">
        <f t="shared" si="4"/>
        <v>0729 Extracción de otros minerales metalíferos no ferrosos</v>
      </c>
      <c r="P15" s="10">
        <v>4755905.22</v>
      </c>
    </row>
    <row r="16" spans="1:16" s="12" customFormat="1" ht="24" x14ac:dyDescent="0.25">
      <c r="B16" s="13" t="s">
        <v>101</v>
      </c>
      <c r="C16" s="19">
        <v>2011</v>
      </c>
      <c r="D16" s="38">
        <v>20100025591</v>
      </c>
      <c r="E16" s="14" t="s">
        <v>16</v>
      </c>
      <c r="F16" s="15" t="s">
        <v>17</v>
      </c>
      <c r="G16" s="16" t="str">
        <f t="shared" si="0"/>
        <v>B Explotación de minas y canteras</v>
      </c>
      <c r="H16" s="14" t="str">
        <f t="shared" ref="H16:H47" si="5">LEFT(K16,2)</f>
        <v>07</v>
      </c>
      <c r="I16" s="17" t="s">
        <v>18</v>
      </c>
      <c r="J16" s="17" t="str">
        <f t="shared" si="2"/>
        <v>07 Extracción de minerales metalíferos</v>
      </c>
      <c r="K16" s="14" t="str">
        <f t="shared" ref="K16:K47" si="6">LEFT(M16,3)</f>
        <v>072</v>
      </c>
      <c r="L16" s="15" t="s">
        <v>19</v>
      </c>
      <c r="M16" s="18" t="s">
        <v>20</v>
      </c>
      <c r="N16" s="15" t="s">
        <v>21</v>
      </c>
      <c r="O16" s="16" t="str">
        <f t="shared" si="4"/>
        <v>0729 Extracción de otros minerales metalíferos no ferrosos</v>
      </c>
      <c r="P16" s="10">
        <v>3565495.25</v>
      </c>
    </row>
    <row r="17" spans="1:16" s="12" customFormat="1" ht="24" x14ac:dyDescent="0.25">
      <c r="B17" s="13" t="s">
        <v>101</v>
      </c>
      <c r="C17" s="19">
        <v>2013</v>
      </c>
      <c r="D17" s="38">
        <v>20100025591</v>
      </c>
      <c r="E17" s="14" t="s">
        <v>16</v>
      </c>
      <c r="F17" s="15" t="s">
        <v>17</v>
      </c>
      <c r="G17" s="16" t="str">
        <f t="shared" si="0"/>
        <v>B Explotación de minas y canteras</v>
      </c>
      <c r="H17" s="14" t="str">
        <f t="shared" si="5"/>
        <v>07</v>
      </c>
      <c r="I17" s="17" t="s">
        <v>18</v>
      </c>
      <c r="J17" s="17" t="str">
        <f t="shared" si="2"/>
        <v>07 Extracción de minerales metalíferos</v>
      </c>
      <c r="K17" s="14" t="str">
        <f t="shared" si="6"/>
        <v>072</v>
      </c>
      <c r="L17" s="15" t="s">
        <v>19</v>
      </c>
      <c r="M17" s="18" t="s">
        <v>20</v>
      </c>
      <c r="N17" s="15" t="s">
        <v>21</v>
      </c>
      <c r="O17" s="16" t="str">
        <f t="shared" si="4"/>
        <v>0729 Extracción de otros minerales metalíferos no ferrosos</v>
      </c>
      <c r="P17" s="10">
        <v>2511756.41</v>
      </c>
    </row>
    <row r="18" spans="1:16" s="35" customFormat="1" ht="24" x14ac:dyDescent="0.25">
      <c r="A18" s="12"/>
      <c r="B18" s="31" t="s">
        <v>47</v>
      </c>
      <c r="C18" s="32">
        <v>2001</v>
      </c>
      <c r="D18" s="37">
        <v>20100027705</v>
      </c>
      <c r="E18" s="33" t="s">
        <v>48</v>
      </c>
      <c r="F18" s="15" t="s">
        <v>49</v>
      </c>
      <c r="G18" s="16" t="str">
        <f t="shared" si="0"/>
        <v>D Suministro de electricidad, gas, vapor y aire acondicionado</v>
      </c>
      <c r="H18" s="14" t="str">
        <f t="shared" si="5"/>
        <v>35</v>
      </c>
      <c r="I18" s="17" t="s">
        <v>49</v>
      </c>
      <c r="J18" s="17" t="str">
        <f t="shared" si="2"/>
        <v>35 Suministro de electricidad, gas, vapor y aire acondicionado</v>
      </c>
      <c r="K18" s="14" t="str">
        <f t="shared" si="6"/>
        <v>351</v>
      </c>
      <c r="L18" s="15" t="s">
        <v>50</v>
      </c>
      <c r="M18" s="18" t="s">
        <v>51</v>
      </c>
      <c r="N18" s="15" t="s">
        <v>50</v>
      </c>
      <c r="O18" s="16" t="str">
        <f t="shared" si="4"/>
        <v>3510 Generación, transmisión y distribución de energía eléctrica</v>
      </c>
      <c r="P18" s="34">
        <v>3094493.11</v>
      </c>
    </row>
    <row r="19" spans="1:16" s="47" customFormat="1" ht="24" x14ac:dyDescent="0.25">
      <c r="A19" s="12"/>
      <c r="B19" s="13" t="s">
        <v>47</v>
      </c>
      <c r="C19" s="19">
        <v>2004</v>
      </c>
      <c r="D19" s="38">
        <v>20100027705</v>
      </c>
      <c r="E19" s="14" t="s">
        <v>48</v>
      </c>
      <c r="F19" s="15" t="s">
        <v>49</v>
      </c>
      <c r="G19" s="16" t="str">
        <f t="shared" si="0"/>
        <v>D Suministro de electricidad, gas, vapor y aire acondicionado</v>
      </c>
      <c r="H19" s="14" t="str">
        <f t="shared" si="5"/>
        <v>35</v>
      </c>
      <c r="I19" s="17" t="s">
        <v>49</v>
      </c>
      <c r="J19" s="17" t="str">
        <f t="shared" si="2"/>
        <v>35 Suministro de electricidad, gas, vapor y aire acondicionado</v>
      </c>
      <c r="K19" s="14" t="str">
        <f t="shared" si="6"/>
        <v>351</v>
      </c>
      <c r="L19" s="15" t="s">
        <v>50</v>
      </c>
      <c r="M19" s="18" t="s">
        <v>51</v>
      </c>
      <c r="N19" s="15" t="s">
        <v>50</v>
      </c>
      <c r="O19" s="16" t="str">
        <f t="shared" si="4"/>
        <v>3510 Generación, transmisión y distribución de energía eléctrica</v>
      </c>
      <c r="P19" s="10">
        <v>306485.96000000002</v>
      </c>
    </row>
    <row r="20" spans="1:16" s="47" customFormat="1" ht="24" x14ac:dyDescent="0.25">
      <c r="A20" s="12"/>
      <c r="B20" s="13" t="s">
        <v>47</v>
      </c>
      <c r="C20" s="19">
        <v>2005</v>
      </c>
      <c r="D20" s="38">
        <v>20100027705</v>
      </c>
      <c r="E20" s="14" t="s">
        <v>48</v>
      </c>
      <c r="F20" s="15" t="s">
        <v>49</v>
      </c>
      <c r="G20" s="16" t="str">
        <f t="shared" si="0"/>
        <v>D Suministro de electricidad, gas, vapor y aire acondicionado</v>
      </c>
      <c r="H20" s="14" t="str">
        <f t="shared" si="5"/>
        <v>35</v>
      </c>
      <c r="I20" s="17" t="s">
        <v>49</v>
      </c>
      <c r="J20" s="17" t="str">
        <f t="shared" si="2"/>
        <v>35 Suministro de electricidad, gas, vapor y aire acondicionado</v>
      </c>
      <c r="K20" s="14" t="str">
        <f t="shared" si="6"/>
        <v>351</v>
      </c>
      <c r="L20" s="15" t="s">
        <v>50</v>
      </c>
      <c r="M20" s="18" t="s">
        <v>51</v>
      </c>
      <c r="N20" s="15" t="s">
        <v>50</v>
      </c>
      <c r="O20" s="16" t="str">
        <f t="shared" si="4"/>
        <v>3510 Generación, transmisión y distribución de energía eléctrica</v>
      </c>
      <c r="P20" s="10">
        <v>315442.03999999998</v>
      </c>
    </row>
    <row r="21" spans="1:16" s="12" customFormat="1" ht="24" x14ac:dyDescent="0.25">
      <c r="B21" s="13" t="s">
        <v>47</v>
      </c>
      <c r="C21" s="19">
        <v>2006</v>
      </c>
      <c r="D21" s="38">
        <v>20100027705</v>
      </c>
      <c r="E21" s="14" t="s">
        <v>48</v>
      </c>
      <c r="F21" s="15" t="s">
        <v>49</v>
      </c>
      <c r="G21" s="16" t="str">
        <f t="shared" si="0"/>
        <v>D Suministro de electricidad, gas, vapor y aire acondicionado</v>
      </c>
      <c r="H21" s="14" t="str">
        <f t="shared" si="5"/>
        <v>35</v>
      </c>
      <c r="I21" s="17" t="s">
        <v>49</v>
      </c>
      <c r="J21" s="17" t="str">
        <f t="shared" si="2"/>
        <v>35 Suministro de electricidad, gas, vapor y aire acondicionado</v>
      </c>
      <c r="K21" s="14" t="str">
        <f t="shared" si="6"/>
        <v>351</v>
      </c>
      <c r="L21" s="15" t="s">
        <v>50</v>
      </c>
      <c r="M21" s="18" t="s">
        <v>51</v>
      </c>
      <c r="N21" s="15" t="s">
        <v>50</v>
      </c>
      <c r="O21" s="16" t="str">
        <f t="shared" si="4"/>
        <v>3510 Generación, transmisión y distribución de energía eléctrica</v>
      </c>
      <c r="P21" s="10">
        <v>45307.9</v>
      </c>
    </row>
    <row r="22" spans="1:16" s="12" customFormat="1" ht="24" x14ac:dyDescent="0.25">
      <c r="B22" s="13" t="s">
        <v>47</v>
      </c>
      <c r="C22" s="19">
        <v>2007</v>
      </c>
      <c r="D22" s="38">
        <v>20100027705</v>
      </c>
      <c r="E22" s="14" t="s">
        <v>48</v>
      </c>
      <c r="F22" s="15" t="s">
        <v>49</v>
      </c>
      <c r="G22" s="16" t="str">
        <f t="shared" si="0"/>
        <v>D Suministro de electricidad, gas, vapor y aire acondicionado</v>
      </c>
      <c r="H22" s="14" t="str">
        <f t="shared" si="5"/>
        <v>35</v>
      </c>
      <c r="I22" s="17" t="s">
        <v>49</v>
      </c>
      <c r="J22" s="17" t="str">
        <f t="shared" si="2"/>
        <v>35 Suministro de electricidad, gas, vapor y aire acondicionado</v>
      </c>
      <c r="K22" s="14" t="str">
        <f t="shared" si="6"/>
        <v>351</v>
      </c>
      <c r="L22" s="15" t="s">
        <v>50</v>
      </c>
      <c r="M22" s="18" t="s">
        <v>51</v>
      </c>
      <c r="N22" s="15" t="s">
        <v>50</v>
      </c>
      <c r="O22" s="16" t="str">
        <f t="shared" si="4"/>
        <v>3510 Generación, transmisión y distribución de energía eléctrica</v>
      </c>
      <c r="P22" s="10">
        <v>1152301.3799999999</v>
      </c>
    </row>
    <row r="23" spans="1:16" s="12" customFormat="1" ht="24" x14ac:dyDescent="0.25">
      <c r="B23" s="13" t="s">
        <v>47</v>
      </c>
      <c r="C23" s="19">
        <v>2008</v>
      </c>
      <c r="D23" s="38">
        <v>20100027705</v>
      </c>
      <c r="E23" s="14" t="s">
        <v>48</v>
      </c>
      <c r="F23" s="15" t="s">
        <v>49</v>
      </c>
      <c r="G23" s="16" t="str">
        <f t="shared" si="0"/>
        <v>D Suministro de electricidad, gas, vapor y aire acondicionado</v>
      </c>
      <c r="H23" s="14" t="str">
        <f t="shared" si="5"/>
        <v>35</v>
      </c>
      <c r="I23" s="17" t="s">
        <v>49</v>
      </c>
      <c r="J23" s="17" t="str">
        <f t="shared" si="2"/>
        <v>35 Suministro de electricidad, gas, vapor y aire acondicionado</v>
      </c>
      <c r="K23" s="14" t="str">
        <f t="shared" si="6"/>
        <v>351</v>
      </c>
      <c r="L23" s="15" t="s">
        <v>50</v>
      </c>
      <c r="M23" s="18" t="s">
        <v>51</v>
      </c>
      <c r="N23" s="15" t="s">
        <v>50</v>
      </c>
      <c r="O23" s="16" t="str">
        <f t="shared" si="4"/>
        <v>3510 Generación, transmisión y distribución de energía eléctrica</v>
      </c>
      <c r="P23" s="10">
        <v>138379.04</v>
      </c>
    </row>
    <row r="24" spans="1:16" s="12" customFormat="1" ht="24" x14ac:dyDescent="0.25">
      <c r="B24" s="13" t="s">
        <v>47</v>
      </c>
      <c r="C24" s="19">
        <v>2009</v>
      </c>
      <c r="D24" s="38">
        <v>20100027705</v>
      </c>
      <c r="E24" s="14" t="s">
        <v>48</v>
      </c>
      <c r="F24" s="15" t="s">
        <v>49</v>
      </c>
      <c r="G24" s="16" t="str">
        <f t="shared" si="0"/>
        <v>D Suministro de electricidad, gas, vapor y aire acondicionado</v>
      </c>
      <c r="H24" s="14" t="str">
        <f t="shared" si="5"/>
        <v>35</v>
      </c>
      <c r="I24" s="17" t="s">
        <v>49</v>
      </c>
      <c r="J24" s="17" t="str">
        <f t="shared" si="2"/>
        <v>35 Suministro de electricidad, gas, vapor y aire acondicionado</v>
      </c>
      <c r="K24" s="14" t="str">
        <f t="shared" si="6"/>
        <v>351</v>
      </c>
      <c r="L24" s="15" t="s">
        <v>50</v>
      </c>
      <c r="M24" s="18" t="s">
        <v>51</v>
      </c>
      <c r="N24" s="15" t="s">
        <v>50</v>
      </c>
      <c r="O24" s="16" t="str">
        <f t="shared" si="4"/>
        <v>3510 Generación, transmisión y distribución de energía eléctrica</v>
      </c>
      <c r="P24" s="10">
        <v>235817.81</v>
      </c>
    </row>
    <row r="25" spans="1:16" s="12" customFormat="1" ht="24" x14ac:dyDescent="0.25">
      <c r="B25" s="13" t="s">
        <v>47</v>
      </c>
      <c r="C25" s="19">
        <v>2010</v>
      </c>
      <c r="D25" s="38">
        <v>20100027705</v>
      </c>
      <c r="E25" s="14" t="s">
        <v>48</v>
      </c>
      <c r="F25" s="15" t="s">
        <v>49</v>
      </c>
      <c r="G25" s="16" t="str">
        <f t="shared" si="0"/>
        <v>D Suministro de electricidad, gas, vapor y aire acondicionado</v>
      </c>
      <c r="H25" s="14" t="str">
        <f t="shared" si="5"/>
        <v>35</v>
      </c>
      <c r="I25" s="17" t="s">
        <v>49</v>
      </c>
      <c r="J25" s="17" t="str">
        <f t="shared" si="2"/>
        <v>35 Suministro de electricidad, gas, vapor y aire acondicionado</v>
      </c>
      <c r="K25" s="14" t="str">
        <f t="shared" si="6"/>
        <v>351</v>
      </c>
      <c r="L25" s="15" t="s">
        <v>50</v>
      </c>
      <c r="M25" s="18" t="s">
        <v>51</v>
      </c>
      <c r="N25" s="15" t="s">
        <v>50</v>
      </c>
      <c r="O25" s="16" t="str">
        <f t="shared" si="4"/>
        <v>3510 Generación, transmisión y distribución de energía eléctrica</v>
      </c>
      <c r="P25" s="10">
        <v>1492567.24</v>
      </c>
    </row>
    <row r="26" spans="1:16" s="12" customFormat="1" ht="24" x14ac:dyDescent="0.25">
      <c r="B26" s="13" t="s">
        <v>47</v>
      </c>
      <c r="C26" s="19">
        <v>2011</v>
      </c>
      <c r="D26" s="38">
        <v>20100027705</v>
      </c>
      <c r="E26" s="14" t="s">
        <v>48</v>
      </c>
      <c r="F26" s="15" t="s">
        <v>49</v>
      </c>
      <c r="G26" s="16" t="str">
        <f t="shared" si="0"/>
        <v>D Suministro de electricidad, gas, vapor y aire acondicionado</v>
      </c>
      <c r="H26" s="14" t="str">
        <f t="shared" si="5"/>
        <v>35</v>
      </c>
      <c r="I26" s="17" t="s">
        <v>49</v>
      </c>
      <c r="J26" s="17" t="str">
        <f t="shared" si="2"/>
        <v>35 Suministro de electricidad, gas, vapor y aire acondicionado</v>
      </c>
      <c r="K26" s="14" t="str">
        <f t="shared" si="6"/>
        <v>351</v>
      </c>
      <c r="L26" s="15" t="s">
        <v>50</v>
      </c>
      <c r="M26" s="18" t="s">
        <v>51</v>
      </c>
      <c r="N26" s="15" t="s">
        <v>50</v>
      </c>
      <c r="O26" s="16" t="str">
        <f t="shared" si="4"/>
        <v>3510 Generación, transmisión y distribución de energía eléctrica</v>
      </c>
      <c r="P26" s="10">
        <v>87896.34</v>
      </c>
    </row>
    <row r="27" spans="1:16" s="12" customFormat="1" ht="24" x14ac:dyDescent="0.25">
      <c r="B27" s="13" t="s">
        <v>47</v>
      </c>
      <c r="C27" s="19">
        <v>2012</v>
      </c>
      <c r="D27" s="38">
        <v>20100027705</v>
      </c>
      <c r="E27" s="14" t="s">
        <v>48</v>
      </c>
      <c r="F27" s="15" t="s">
        <v>49</v>
      </c>
      <c r="G27" s="16" t="str">
        <f t="shared" si="0"/>
        <v>D Suministro de electricidad, gas, vapor y aire acondicionado</v>
      </c>
      <c r="H27" s="14" t="str">
        <f t="shared" si="5"/>
        <v>35</v>
      </c>
      <c r="I27" s="17" t="s">
        <v>49</v>
      </c>
      <c r="J27" s="17" t="str">
        <f t="shared" si="2"/>
        <v>35 Suministro de electricidad, gas, vapor y aire acondicionado</v>
      </c>
      <c r="K27" s="14" t="str">
        <f t="shared" si="6"/>
        <v>351</v>
      </c>
      <c r="L27" s="15" t="s">
        <v>50</v>
      </c>
      <c r="M27" s="18" t="s">
        <v>51</v>
      </c>
      <c r="N27" s="15" t="s">
        <v>50</v>
      </c>
      <c r="O27" s="16" t="str">
        <f t="shared" si="4"/>
        <v>3510 Generación, transmisión y distribución de energía eléctrica</v>
      </c>
      <c r="P27" s="10">
        <v>346916.68</v>
      </c>
    </row>
    <row r="28" spans="1:16" s="12" customFormat="1" ht="24" x14ac:dyDescent="0.25">
      <c r="B28" s="13" t="s">
        <v>47</v>
      </c>
      <c r="C28" s="19">
        <v>2013</v>
      </c>
      <c r="D28" s="38">
        <v>20100027705</v>
      </c>
      <c r="E28" s="14" t="s">
        <v>48</v>
      </c>
      <c r="F28" s="15" t="s">
        <v>49</v>
      </c>
      <c r="G28" s="16" t="str">
        <f t="shared" si="0"/>
        <v>D Suministro de electricidad, gas, vapor y aire acondicionado</v>
      </c>
      <c r="H28" s="14" t="str">
        <f t="shared" si="5"/>
        <v>35</v>
      </c>
      <c r="I28" s="17" t="s">
        <v>49</v>
      </c>
      <c r="J28" s="17" t="str">
        <f t="shared" si="2"/>
        <v>35 Suministro de electricidad, gas, vapor y aire acondicionado</v>
      </c>
      <c r="K28" s="14" t="str">
        <f t="shared" si="6"/>
        <v>351</v>
      </c>
      <c r="L28" s="15" t="s">
        <v>50</v>
      </c>
      <c r="M28" s="18" t="s">
        <v>51</v>
      </c>
      <c r="N28" s="15" t="s">
        <v>50</v>
      </c>
      <c r="O28" s="16" t="str">
        <f t="shared" si="4"/>
        <v>3510 Generación, transmisión y distribución de energía eléctrica</v>
      </c>
      <c r="P28" s="10">
        <v>1201995.01</v>
      </c>
    </row>
    <row r="29" spans="1:16" s="12" customFormat="1" ht="24" x14ac:dyDescent="0.25">
      <c r="B29" s="13" t="s">
        <v>47</v>
      </c>
      <c r="C29" s="19">
        <v>2014</v>
      </c>
      <c r="D29" s="38">
        <v>20100027705</v>
      </c>
      <c r="E29" s="14" t="s">
        <v>48</v>
      </c>
      <c r="F29" s="15" t="s">
        <v>49</v>
      </c>
      <c r="G29" s="16" t="str">
        <f t="shared" si="0"/>
        <v>D Suministro de electricidad, gas, vapor y aire acondicionado</v>
      </c>
      <c r="H29" s="14" t="str">
        <f t="shared" si="5"/>
        <v>35</v>
      </c>
      <c r="I29" s="17" t="s">
        <v>49</v>
      </c>
      <c r="J29" s="17" t="str">
        <f t="shared" si="2"/>
        <v>35 Suministro de electricidad, gas, vapor y aire acondicionado</v>
      </c>
      <c r="K29" s="14" t="str">
        <f t="shared" si="6"/>
        <v>351</v>
      </c>
      <c r="L29" s="15" t="s">
        <v>50</v>
      </c>
      <c r="M29" s="18" t="s">
        <v>51</v>
      </c>
      <c r="N29" s="15" t="s">
        <v>50</v>
      </c>
      <c r="O29" s="16" t="str">
        <f t="shared" si="4"/>
        <v>3510 Generación, transmisión y distribución de energía eléctrica</v>
      </c>
      <c r="P29" s="10">
        <v>1582600.6</v>
      </c>
    </row>
    <row r="30" spans="1:16" s="12" customFormat="1" ht="24" x14ac:dyDescent="0.25">
      <c r="B30" s="13" t="s">
        <v>47</v>
      </c>
      <c r="C30" s="19">
        <v>2015</v>
      </c>
      <c r="D30" s="38">
        <v>20100027705</v>
      </c>
      <c r="E30" s="14" t="s">
        <v>48</v>
      </c>
      <c r="F30" s="15" t="s">
        <v>49</v>
      </c>
      <c r="G30" s="16" t="str">
        <f t="shared" si="0"/>
        <v>D Suministro de electricidad, gas, vapor y aire acondicionado</v>
      </c>
      <c r="H30" s="14" t="str">
        <f t="shared" si="5"/>
        <v>35</v>
      </c>
      <c r="I30" s="17" t="s">
        <v>49</v>
      </c>
      <c r="J30" s="17" t="str">
        <f t="shared" si="2"/>
        <v>35 Suministro de electricidad, gas, vapor y aire acondicionado</v>
      </c>
      <c r="K30" s="14" t="str">
        <f t="shared" si="6"/>
        <v>351</v>
      </c>
      <c r="L30" s="15" t="s">
        <v>50</v>
      </c>
      <c r="M30" s="18" t="s">
        <v>51</v>
      </c>
      <c r="N30" s="15" t="s">
        <v>50</v>
      </c>
      <c r="O30" s="16" t="str">
        <f t="shared" si="4"/>
        <v>3510 Generación, transmisión y distribución de energía eléctrica</v>
      </c>
      <c r="P30" s="10">
        <v>1604675.32</v>
      </c>
    </row>
    <row r="31" spans="1:16" s="12" customFormat="1" ht="24" x14ac:dyDescent="0.25">
      <c r="B31" s="13" t="s">
        <v>47</v>
      </c>
      <c r="C31" s="19">
        <v>2016</v>
      </c>
      <c r="D31" s="38">
        <v>20100027705</v>
      </c>
      <c r="E31" s="14" t="s">
        <v>48</v>
      </c>
      <c r="F31" s="15" t="s">
        <v>49</v>
      </c>
      <c r="G31" s="16" t="str">
        <f t="shared" si="0"/>
        <v>D Suministro de electricidad, gas, vapor y aire acondicionado</v>
      </c>
      <c r="H31" s="14" t="str">
        <f t="shared" si="5"/>
        <v>35</v>
      </c>
      <c r="I31" s="17" t="s">
        <v>49</v>
      </c>
      <c r="J31" s="17" t="str">
        <f t="shared" si="2"/>
        <v>35 Suministro de electricidad, gas, vapor y aire acondicionado</v>
      </c>
      <c r="K31" s="14" t="str">
        <f t="shared" si="6"/>
        <v>351</v>
      </c>
      <c r="L31" s="15" t="s">
        <v>50</v>
      </c>
      <c r="M31" s="18" t="s">
        <v>51</v>
      </c>
      <c r="N31" s="15" t="s">
        <v>50</v>
      </c>
      <c r="O31" s="16" t="str">
        <f t="shared" si="4"/>
        <v>3510 Generación, transmisión y distribución de energía eléctrica</v>
      </c>
      <c r="P31" s="10">
        <v>2114155.9900000002</v>
      </c>
    </row>
    <row r="32" spans="1:16" s="12" customFormat="1" ht="24" x14ac:dyDescent="0.25">
      <c r="B32" s="13" t="s">
        <v>47</v>
      </c>
      <c r="C32" s="19">
        <v>2017</v>
      </c>
      <c r="D32" s="38">
        <v>20100027705</v>
      </c>
      <c r="E32" s="14" t="s">
        <v>48</v>
      </c>
      <c r="F32" s="15" t="s">
        <v>49</v>
      </c>
      <c r="G32" s="16" t="str">
        <f t="shared" si="0"/>
        <v>D Suministro de electricidad, gas, vapor y aire acondicionado</v>
      </c>
      <c r="H32" s="14" t="str">
        <f t="shared" si="5"/>
        <v>35</v>
      </c>
      <c r="I32" s="17" t="s">
        <v>49</v>
      </c>
      <c r="J32" s="17" t="str">
        <f t="shared" si="2"/>
        <v>35 Suministro de electricidad, gas, vapor y aire acondicionado</v>
      </c>
      <c r="K32" s="14" t="str">
        <f t="shared" si="6"/>
        <v>351</v>
      </c>
      <c r="L32" s="15" t="s">
        <v>50</v>
      </c>
      <c r="M32" s="18" t="s">
        <v>51</v>
      </c>
      <c r="N32" s="15" t="s">
        <v>50</v>
      </c>
      <c r="O32" s="16" t="str">
        <f t="shared" si="4"/>
        <v>3510 Generación, transmisión y distribución de energía eléctrica</v>
      </c>
      <c r="P32" s="10">
        <v>787713.53</v>
      </c>
    </row>
    <row r="33" spans="1:16" s="12" customFormat="1" ht="24" x14ac:dyDescent="0.25">
      <c r="B33" s="13" t="s">
        <v>47</v>
      </c>
      <c r="C33" s="19">
        <v>2018</v>
      </c>
      <c r="D33" s="38">
        <v>20100027705</v>
      </c>
      <c r="E33" s="14" t="s">
        <v>48</v>
      </c>
      <c r="F33" s="15" t="s">
        <v>49</v>
      </c>
      <c r="G33" s="16" t="str">
        <f t="shared" si="0"/>
        <v>D Suministro de electricidad, gas, vapor y aire acondicionado</v>
      </c>
      <c r="H33" s="14" t="str">
        <f t="shared" si="5"/>
        <v>35</v>
      </c>
      <c r="I33" s="17" t="s">
        <v>49</v>
      </c>
      <c r="J33" s="17" t="str">
        <f t="shared" si="2"/>
        <v>35 Suministro de electricidad, gas, vapor y aire acondicionado</v>
      </c>
      <c r="K33" s="14" t="str">
        <f t="shared" si="6"/>
        <v>351</v>
      </c>
      <c r="L33" s="15" t="s">
        <v>50</v>
      </c>
      <c r="M33" s="18" t="s">
        <v>51</v>
      </c>
      <c r="N33" s="15" t="s">
        <v>50</v>
      </c>
      <c r="O33" s="16" t="str">
        <f t="shared" si="4"/>
        <v>3510 Generación, transmisión y distribución de energía eléctrica</v>
      </c>
      <c r="P33" s="10">
        <v>616185.84</v>
      </c>
    </row>
    <row r="34" spans="1:16" s="12" customFormat="1" ht="24" x14ac:dyDescent="0.25">
      <c r="B34" s="13" t="s">
        <v>47</v>
      </c>
      <c r="C34" s="19">
        <v>2019</v>
      </c>
      <c r="D34" s="38">
        <v>20100027705</v>
      </c>
      <c r="E34" s="14" t="s">
        <v>48</v>
      </c>
      <c r="F34" s="15" t="s">
        <v>49</v>
      </c>
      <c r="G34" s="16" t="str">
        <f t="shared" ref="G34:G65" si="7">E34&amp;" "&amp;F34</f>
        <v>D Suministro de electricidad, gas, vapor y aire acondicionado</v>
      </c>
      <c r="H34" s="14" t="str">
        <f t="shared" si="5"/>
        <v>35</v>
      </c>
      <c r="I34" s="17" t="s">
        <v>49</v>
      </c>
      <c r="J34" s="17" t="str">
        <f t="shared" si="2"/>
        <v>35 Suministro de electricidad, gas, vapor y aire acondicionado</v>
      </c>
      <c r="K34" s="14" t="str">
        <f t="shared" si="6"/>
        <v>351</v>
      </c>
      <c r="L34" s="15" t="s">
        <v>50</v>
      </c>
      <c r="M34" s="18" t="s">
        <v>51</v>
      </c>
      <c r="N34" s="15" t="s">
        <v>50</v>
      </c>
      <c r="O34" s="16" t="str">
        <f t="shared" si="4"/>
        <v>3510 Generación, transmisión y distribución de energía eléctrica</v>
      </c>
      <c r="P34" s="10">
        <v>930882.89</v>
      </c>
    </row>
    <row r="35" spans="1:16" s="12" customFormat="1" ht="24" x14ac:dyDescent="0.25">
      <c r="B35" s="13" t="s">
        <v>47</v>
      </c>
      <c r="C35" s="19">
        <v>2020</v>
      </c>
      <c r="D35" s="38">
        <v>20100027705</v>
      </c>
      <c r="E35" s="14" t="s">
        <v>48</v>
      </c>
      <c r="F35" s="15" t="s">
        <v>49</v>
      </c>
      <c r="G35" s="16" t="str">
        <f t="shared" si="7"/>
        <v>D Suministro de electricidad, gas, vapor y aire acondicionado</v>
      </c>
      <c r="H35" s="14" t="str">
        <f t="shared" si="5"/>
        <v>35</v>
      </c>
      <c r="I35" s="17" t="s">
        <v>49</v>
      </c>
      <c r="J35" s="17" t="str">
        <f t="shared" si="2"/>
        <v>35 Suministro de electricidad, gas, vapor y aire acondicionado</v>
      </c>
      <c r="K35" s="14" t="str">
        <f t="shared" si="6"/>
        <v>351</v>
      </c>
      <c r="L35" s="15" t="s">
        <v>50</v>
      </c>
      <c r="M35" s="18" t="s">
        <v>51</v>
      </c>
      <c r="N35" s="15" t="s">
        <v>50</v>
      </c>
      <c r="O35" s="16" t="str">
        <f t="shared" si="4"/>
        <v>3510 Generación, transmisión y distribución de energía eléctrica</v>
      </c>
      <c r="P35" s="10">
        <v>1027996.78</v>
      </c>
    </row>
    <row r="36" spans="1:16" s="12" customFormat="1" ht="24" x14ac:dyDescent="0.25">
      <c r="B36" s="13" t="s">
        <v>47</v>
      </c>
      <c r="C36" s="19">
        <v>2021</v>
      </c>
      <c r="D36" s="38">
        <v>20100027705</v>
      </c>
      <c r="E36" s="14" t="s">
        <v>48</v>
      </c>
      <c r="F36" s="15" t="s">
        <v>49</v>
      </c>
      <c r="G36" s="16" t="str">
        <f t="shared" si="7"/>
        <v>D Suministro de electricidad, gas, vapor y aire acondicionado</v>
      </c>
      <c r="H36" s="14" t="str">
        <f t="shared" si="5"/>
        <v>35</v>
      </c>
      <c r="I36" s="17" t="s">
        <v>49</v>
      </c>
      <c r="J36" s="17" t="str">
        <f t="shared" si="2"/>
        <v>35 Suministro de electricidad, gas, vapor y aire acondicionado</v>
      </c>
      <c r="K36" s="14" t="str">
        <f t="shared" si="6"/>
        <v>351</v>
      </c>
      <c r="L36" s="15" t="s">
        <v>50</v>
      </c>
      <c r="M36" s="18" t="s">
        <v>51</v>
      </c>
      <c r="N36" s="15" t="s">
        <v>50</v>
      </c>
      <c r="O36" s="16" t="str">
        <f t="shared" si="4"/>
        <v>3510 Generación, transmisión y distribución de energía eléctrica</v>
      </c>
      <c r="P36" s="10">
        <v>1498767.0499999998</v>
      </c>
    </row>
    <row r="37" spans="1:16" s="12" customFormat="1" ht="24" x14ac:dyDescent="0.25">
      <c r="B37" s="13" t="s">
        <v>47</v>
      </c>
      <c r="C37" s="19">
        <v>2022</v>
      </c>
      <c r="D37" s="38">
        <v>20100027705</v>
      </c>
      <c r="E37" s="14" t="s">
        <v>48</v>
      </c>
      <c r="F37" s="15" t="s">
        <v>49</v>
      </c>
      <c r="G37" s="16" t="str">
        <f t="shared" si="7"/>
        <v>D Suministro de electricidad, gas, vapor y aire acondicionado</v>
      </c>
      <c r="H37" s="14" t="str">
        <f t="shared" si="5"/>
        <v>35</v>
      </c>
      <c r="I37" s="17" t="s">
        <v>49</v>
      </c>
      <c r="J37" s="17" t="str">
        <f t="shared" si="2"/>
        <v>35 Suministro de electricidad, gas, vapor y aire acondicionado</v>
      </c>
      <c r="K37" s="14" t="str">
        <f t="shared" si="6"/>
        <v>351</v>
      </c>
      <c r="L37" s="15" t="s">
        <v>50</v>
      </c>
      <c r="M37" s="18" t="s">
        <v>51</v>
      </c>
      <c r="N37" s="15" t="s">
        <v>50</v>
      </c>
      <c r="O37" s="16" t="str">
        <f t="shared" si="4"/>
        <v>3510 Generación, transmisión y distribución de energía eléctrica</v>
      </c>
      <c r="P37" s="10">
        <v>17473112.780000001</v>
      </c>
    </row>
    <row r="38" spans="1:16" s="12" customFormat="1" ht="24" x14ac:dyDescent="0.25">
      <c r="B38" s="13" t="s">
        <v>47</v>
      </c>
      <c r="C38" s="19">
        <v>2023</v>
      </c>
      <c r="D38" s="38">
        <v>20100027705</v>
      </c>
      <c r="E38" s="14" t="s">
        <v>48</v>
      </c>
      <c r="F38" s="15" t="s">
        <v>49</v>
      </c>
      <c r="G38" s="16" t="str">
        <f t="shared" si="7"/>
        <v>D Suministro de electricidad, gas, vapor y aire acondicionado</v>
      </c>
      <c r="H38" s="14" t="str">
        <f t="shared" si="5"/>
        <v>35</v>
      </c>
      <c r="I38" s="17" t="s">
        <v>49</v>
      </c>
      <c r="J38" s="17" t="str">
        <f t="shared" si="2"/>
        <v>35 Suministro de electricidad, gas, vapor y aire acondicionado</v>
      </c>
      <c r="K38" s="14" t="str">
        <f t="shared" si="6"/>
        <v>351</v>
      </c>
      <c r="L38" s="15" t="s">
        <v>50</v>
      </c>
      <c r="M38" s="18" t="s">
        <v>51</v>
      </c>
      <c r="N38" s="15" t="s">
        <v>50</v>
      </c>
      <c r="O38" s="16" t="str">
        <f t="shared" si="4"/>
        <v>3510 Generación, transmisión y distribución de energía eléctrica</v>
      </c>
      <c r="P38" s="10">
        <v>5188353.3900000006</v>
      </c>
    </row>
    <row r="39" spans="1:16" s="12" customFormat="1" ht="24" x14ac:dyDescent="0.25">
      <c r="B39" s="13" t="s">
        <v>47</v>
      </c>
      <c r="C39" s="19">
        <v>2024</v>
      </c>
      <c r="D39" s="38">
        <v>20100027705</v>
      </c>
      <c r="E39" s="14" t="s">
        <v>48</v>
      </c>
      <c r="F39" s="15" t="s">
        <v>49</v>
      </c>
      <c r="G39" s="16" t="str">
        <f t="shared" si="7"/>
        <v>D Suministro de electricidad, gas, vapor y aire acondicionado</v>
      </c>
      <c r="H39" s="14" t="str">
        <f t="shared" si="5"/>
        <v>35</v>
      </c>
      <c r="I39" s="17" t="s">
        <v>49</v>
      </c>
      <c r="J39" s="17" t="str">
        <f t="shared" si="2"/>
        <v>35 Suministro de electricidad, gas, vapor y aire acondicionado</v>
      </c>
      <c r="K39" s="14" t="str">
        <f t="shared" si="6"/>
        <v>351</v>
      </c>
      <c r="L39" s="15" t="s">
        <v>50</v>
      </c>
      <c r="M39" s="18" t="s">
        <v>51</v>
      </c>
      <c r="N39" s="15" t="s">
        <v>50</v>
      </c>
      <c r="O39" s="16" t="str">
        <f t="shared" si="4"/>
        <v>3510 Generación, transmisión y distribución de energía eléctrica</v>
      </c>
      <c r="P39" s="10">
        <v>58116.9</v>
      </c>
    </row>
    <row r="40" spans="1:16" s="12" customFormat="1" ht="24" x14ac:dyDescent="0.25">
      <c r="A40" s="12">
        <v>25</v>
      </c>
      <c r="B40" s="13" t="s">
        <v>47</v>
      </c>
      <c r="C40" s="19">
        <v>2025</v>
      </c>
      <c r="D40" s="38">
        <v>20100027705</v>
      </c>
      <c r="E40" s="14" t="s">
        <v>48</v>
      </c>
      <c r="F40" s="15" t="s">
        <v>49</v>
      </c>
      <c r="G40" s="16" t="str">
        <f t="shared" si="7"/>
        <v>D Suministro de electricidad, gas, vapor y aire acondicionado</v>
      </c>
      <c r="H40" s="14" t="str">
        <f t="shared" si="5"/>
        <v>35</v>
      </c>
      <c r="I40" s="17" t="s">
        <v>49</v>
      </c>
      <c r="J40" s="17" t="str">
        <f t="shared" si="2"/>
        <v>35 Suministro de electricidad, gas, vapor y aire acondicionado</v>
      </c>
      <c r="K40" s="14" t="str">
        <f t="shared" si="6"/>
        <v>351</v>
      </c>
      <c r="L40" s="15" t="s">
        <v>50</v>
      </c>
      <c r="M40" s="18" t="s">
        <v>51</v>
      </c>
      <c r="N40" s="15" t="s">
        <v>50</v>
      </c>
      <c r="O40" s="16" t="str">
        <f t="shared" si="4"/>
        <v>3510 Generación, transmisión y distribución de energía eléctrica</v>
      </c>
      <c r="P40" s="10">
        <v>9024244.4900000002</v>
      </c>
    </row>
    <row r="41" spans="1:16" s="12" customFormat="1" ht="24" x14ac:dyDescent="0.25">
      <c r="A41" s="41"/>
      <c r="B41" s="49" t="s">
        <v>47</v>
      </c>
      <c r="C41" s="50">
        <v>2002</v>
      </c>
      <c r="D41" s="38">
        <v>20100027705</v>
      </c>
      <c r="E41" s="55" t="s">
        <v>23</v>
      </c>
      <c r="F41" s="42" t="s">
        <v>24</v>
      </c>
      <c r="G41" s="43" t="str">
        <f t="shared" si="7"/>
        <v>C Industria manufacturera</v>
      </c>
      <c r="H41" s="44" t="str">
        <f t="shared" si="5"/>
        <v>19</v>
      </c>
      <c r="I41" s="45" t="s">
        <v>25</v>
      </c>
      <c r="J41" s="45" t="str">
        <f t="shared" si="2"/>
        <v>19 Fabricación de coque y productos de la refinación del petróleo</v>
      </c>
      <c r="K41" s="44" t="str">
        <f t="shared" si="6"/>
        <v>192</v>
      </c>
      <c r="L41" s="42" t="s">
        <v>26</v>
      </c>
      <c r="M41" s="46" t="s">
        <v>27</v>
      </c>
      <c r="N41" s="42" t="s">
        <v>26</v>
      </c>
      <c r="O41" s="43" t="str">
        <f t="shared" si="4"/>
        <v>1920 Fabricación de productos de la refinación del petróleo</v>
      </c>
      <c r="P41" s="51">
        <v>220128.34</v>
      </c>
    </row>
    <row r="42" spans="1:16" s="12" customFormat="1" x14ac:dyDescent="0.25">
      <c r="B42" s="13" t="s">
        <v>193</v>
      </c>
      <c r="C42" s="19">
        <v>2014</v>
      </c>
      <c r="D42" s="38">
        <v>20100044626</v>
      </c>
      <c r="E42" s="14" t="s">
        <v>108</v>
      </c>
      <c r="F42" s="15" t="s">
        <v>109</v>
      </c>
      <c r="G42" s="16" t="str">
        <f t="shared" si="7"/>
        <v>H Transporte y almacenamiento</v>
      </c>
      <c r="H42" s="14" t="str">
        <f t="shared" si="5"/>
        <v>52</v>
      </c>
      <c r="I42" s="17" t="s">
        <v>110</v>
      </c>
      <c r="J42" s="17" t="str">
        <f t="shared" si="2"/>
        <v xml:space="preserve">52 Almacenamiento y actividades de apoyo al transporte </v>
      </c>
      <c r="K42" s="14" t="str">
        <f t="shared" si="6"/>
        <v>521</v>
      </c>
      <c r="L42" s="15" t="s">
        <v>111</v>
      </c>
      <c r="M42" s="18" t="s">
        <v>112</v>
      </c>
      <c r="N42" s="15" t="s">
        <v>111</v>
      </c>
      <c r="O42" s="16" t="str">
        <f t="shared" si="4"/>
        <v>5210 Almacenamiento y depósito</v>
      </c>
      <c r="P42" s="10">
        <v>19859.23</v>
      </c>
    </row>
    <row r="43" spans="1:16" s="12" customFormat="1" ht="24" x14ac:dyDescent="0.25">
      <c r="B43" s="13" t="s">
        <v>128</v>
      </c>
      <c r="C43" s="19">
        <v>2008</v>
      </c>
      <c r="D43" s="38">
        <v>20100056802</v>
      </c>
      <c r="E43" s="14" t="s">
        <v>16</v>
      </c>
      <c r="F43" s="15" t="s">
        <v>17</v>
      </c>
      <c r="G43" s="16" t="str">
        <f t="shared" si="7"/>
        <v>B Explotación de minas y canteras</v>
      </c>
      <c r="H43" s="14" t="str">
        <f t="shared" si="5"/>
        <v>07</v>
      </c>
      <c r="I43" s="17" t="s">
        <v>18</v>
      </c>
      <c r="J43" s="17" t="str">
        <f t="shared" si="2"/>
        <v>07 Extracción de minerales metalíferos</v>
      </c>
      <c r="K43" s="14" t="str">
        <f t="shared" si="6"/>
        <v>072</v>
      </c>
      <c r="L43" s="15" t="s">
        <v>19</v>
      </c>
      <c r="M43" s="18" t="s">
        <v>20</v>
      </c>
      <c r="N43" s="15" t="s">
        <v>21</v>
      </c>
      <c r="O43" s="16" t="str">
        <f t="shared" si="4"/>
        <v>0729 Extracción de otros minerales metalíferos no ferrosos</v>
      </c>
      <c r="P43" s="10">
        <v>385.22</v>
      </c>
    </row>
    <row r="44" spans="1:16" s="12" customFormat="1" ht="36" x14ac:dyDescent="0.25">
      <c r="B44" s="13" t="s">
        <v>289</v>
      </c>
      <c r="C44" s="19">
        <v>2022</v>
      </c>
      <c r="D44" s="38">
        <v>20100064490</v>
      </c>
      <c r="E44" s="14" t="s">
        <v>42</v>
      </c>
      <c r="F44" s="15" t="s">
        <v>43</v>
      </c>
      <c r="G44" s="16" t="str">
        <f t="shared" si="7"/>
        <v>G Comercio al por mayor y al por menor; reparación de vehículos automotores y motocicletas</v>
      </c>
      <c r="H44" s="14" t="str">
        <f t="shared" si="5"/>
        <v>46</v>
      </c>
      <c r="I44" s="17" t="s">
        <v>44</v>
      </c>
      <c r="J44" s="17" t="str">
        <f t="shared" si="2"/>
        <v>46 Comercio al por mayor, excepto el de vehículos automotores y motocicletas</v>
      </c>
      <c r="K44" s="14" t="str">
        <f t="shared" si="6"/>
        <v>469</v>
      </c>
      <c r="L44" s="15" t="s">
        <v>45</v>
      </c>
      <c r="M44" s="18" t="s">
        <v>46</v>
      </c>
      <c r="N44" s="15" t="s">
        <v>45</v>
      </c>
      <c r="O44" s="16" t="str">
        <f t="shared" si="4"/>
        <v>4690 Venta al por mayor no especializada</v>
      </c>
      <c r="P44" s="10">
        <v>97032.06</v>
      </c>
    </row>
    <row r="45" spans="1:16" s="12" customFormat="1" ht="36" x14ac:dyDescent="0.25">
      <c r="B45" s="13" t="s">
        <v>181</v>
      </c>
      <c r="C45" s="19">
        <v>2013</v>
      </c>
      <c r="D45" s="38">
        <v>20100070031</v>
      </c>
      <c r="E45" s="14" t="s">
        <v>42</v>
      </c>
      <c r="F45" s="15" t="s">
        <v>43</v>
      </c>
      <c r="G45" s="16" t="str">
        <f t="shared" si="7"/>
        <v>G Comercio al por mayor y al por menor; reparación de vehículos automotores y motocicletas</v>
      </c>
      <c r="H45" s="14" t="str">
        <f t="shared" si="5"/>
        <v>45</v>
      </c>
      <c r="I45" s="17" t="s">
        <v>135</v>
      </c>
      <c r="J45" s="17" t="str">
        <f t="shared" si="2"/>
        <v>45 Comercio al por mayor y al por menor y reparación de vehículos automotores y motocicletas</v>
      </c>
      <c r="K45" s="14" t="str">
        <f t="shared" si="6"/>
        <v>451</v>
      </c>
      <c r="L45" s="15" t="s">
        <v>136</v>
      </c>
      <c r="M45" s="18" t="s">
        <v>137</v>
      </c>
      <c r="N45" s="15" t="s">
        <v>136</v>
      </c>
      <c r="O45" s="16" t="str">
        <f t="shared" si="4"/>
        <v>4510 Venta de vehículos automotores</v>
      </c>
      <c r="P45" s="10">
        <v>1261.22</v>
      </c>
    </row>
    <row r="46" spans="1:16" s="12" customFormat="1" ht="36" x14ac:dyDescent="0.25">
      <c r="B46" s="13" t="s">
        <v>181</v>
      </c>
      <c r="C46" s="19">
        <v>2014</v>
      </c>
      <c r="D46" s="38">
        <v>20100070031</v>
      </c>
      <c r="E46" s="14" t="s">
        <v>42</v>
      </c>
      <c r="F46" s="15" t="s">
        <v>43</v>
      </c>
      <c r="G46" s="16" t="str">
        <f t="shared" si="7"/>
        <v>G Comercio al por mayor y al por menor; reparación de vehículos automotores y motocicletas</v>
      </c>
      <c r="H46" s="14" t="str">
        <f t="shared" si="5"/>
        <v>45</v>
      </c>
      <c r="I46" s="17" t="s">
        <v>135</v>
      </c>
      <c r="J46" s="17" t="str">
        <f t="shared" si="2"/>
        <v>45 Comercio al por mayor y al por menor y reparación de vehículos automotores y motocicletas</v>
      </c>
      <c r="K46" s="14" t="str">
        <f t="shared" si="6"/>
        <v>451</v>
      </c>
      <c r="L46" s="15" t="s">
        <v>136</v>
      </c>
      <c r="M46" s="18" t="s">
        <v>137</v>
      </c>
      <c r="N46" s="15" t="s">
        <v>136</v>
      </c>
      <c r="O46" s="16" t="str">
        <f t="shared" si="4"/>
        <v>4510 Venta de vehículos automotores</v>
      </c>
      <c r="P46" s="10">
        <v>233261.17</v>
      </c>
    </row>
    <row r="47" spans="1:16" s="12" customFormat="1" ht="36" x14ac:dyDescent="0.25">
      <c r="B47" s="13" t="s">
        <v>181</v>
      </c>
      <c r="C47" s="19">
        <v>2016</v>
      </c>
      <c r="D47" s="38">
        <v>20100070031</v>
      </c>
      <c r="E47" s="14" t="s">
        <v>42</v>
      </c>
      <c r="F47" s="15" t="s">
        <v>43</v>
      </c>
      <c r="G47" s="16" t="str">
        <f t="shared" si="7"/>
        <v>G Comercio al por mayor y al por menor; reparación de vehículos automotores y motocicletas</v>
      </c>
      <c r="H47" s="14" t="str">
        <f t="shared" si="5"/>
        <v>45</v>
      </c>
      <c r="I47" s="17" t="s">
        <v>135</v>
      </c>
      <c r="J47" s="17" t="str">
        <f t="shared" si="2"/>
        <v>45 Comercio al por mayor y al por menor y reparación de vehículos automotores y motocicletas</v>
      </c>
      <c r="K47" s="14" t="str">
        <f t="shared" si="6"/>
        <v>451</v>
      </c>
      <c r="L47" s="15" t="s">
        <v>136</v>
      </c>
      <c r="M47" s="18" t="s">
        <v>137</v>
      </c>
      <c r="N47" s="15" t="s">
        <v>136</v>
      </c>
      <c r="O47" s="16" t="str">
        <f t="shared" si="4"/>
        <v>4510 Venta de vehículos automotores</v>
      </c>
      <c r="P47" s="10">
        <v>135998.76999999999</v>
      </c>
    </row>
    <row r="48" spans="1:16" s="12" customFormat="1" ht="36" x14ac:dyDescent="0.25">
      <c r="B48" s="13" t="s">
        <v>181</v>
      </c>
      <c r="C48" s="19">
        <v>2022</v>
      </c>
      <c r="D48" s="38">
        <v>20100070031</v>
      </c>
      <c r="E48" s="14" t="s">
        <v>42</v>
      </c>
      <c r="F48" s="15" t="s">
        <v>43</v>
      </c>
      <c r="G48" s="16" t="str">
        <f t="shared" si="7"/>
        <v>G Comercio al por mayor y al por menor; reparación de vehículos automotores y motocicletas</v>
      </c>
      <c r="H48" s="14" t="str">
        <f t="shared" ref="H48:H77" si="8">LEFT(K48,2)</f>
        <v>45</v>
      </c>
      <c r="I48" s="17" t="s">
        <v>135</v>
      </c>
      <c r="J48" s="17" t="str">
        <f t="shared" si="2"/>
        <v>45 Comercio al por mayor y al por menor y reparación de vehículos automotores y motocicletas</v>
      </c>
      <c r="K48" s="14" t="str">
        <f t="shared" ref="K48:K77" si="9">LEFT(M48,3)</f>
        <v>451</v>
      </c>
      <c r="L48" s="15" t="s">
        <v>136</v>
      </c>
      <c r="M48" s="18" t="s">
        <v>137</v>
      </c>
      <c r="N48" s="15" t="s">
        <v>136</v>
      </c>
      <c r="O48" s="16" t="str">
        <f t="shared" si="4"/>
        <v>4510 Venta de vehículos automotores</v>
      </c>
      <c r="P48" s="10">
        <v>396065.22</v>
      </c>
    </row>
    <row r="49" spans="2:16" s="12" customFormat="1" ht="36" x14ac:dyDescent="0.25">
      <c r="B49" s="13" t="s">
        <v>144</v>
      </c>
      <c r="C49" s="19">
        <v>2010</v>
      </c>
      <c r="D49" s="38">
        <v>20100082714</v>
      </c>
      <c r="E49" s="14" t="s">
        <v>42</v>
      </c>
      <c r="F49" s="15" t="s">
        <v>43</v>
      </c>
      <c r="G49" s="16" t="str">
        <f t="shared" si="7"/>
        <v>G Comercio al por mayor y al por menor; reparación de vehículos automotores y motocicletas</v>
      </c>
      <c r="H49" s="14" t="str">
        <f t="shared" si="8"/>
        <v>46</v>
      </c>
      <c r="I49" s="17" t="s">
        <v>44</v>
      </c>
      <c r="J49" s="17" t="str">
        <f t="shared" si="2"/>
        <v>46 Comercio al por mayor, excepto el de vehículos automotores y motocicletas</v>
      </c>
      <c r="K49" s="14" t="str">
        <f t="shared" si="9"/>
        <v>466</v>
      </c>
      <c r="L49" s="15" t="s">
        <v>59</v>
      </c>
      <c r="M49" s="18" t="s">
        <v>145</v>
      </c>
      <c r="N49" s="15" t="s">
        <v>146</v>
      </c>
      <c r="O49" s="16" t="str">
        <f t="shared" si="4"/>
        <v>4661 Venta al por mayor de combustible sólidos, líquidos y gaseosos y productos conexos</v>
      </c>
      <c r="P49" s="10">
        <v>34673.89</v>
      </c>
    </row>
    <row r="50" spans="2:16" s="12" customFormat="1" ht="36" x14ac:dyDescent="0.25">
      <c r="B50" s="13" t="s">
        <v>144</v>
      </c>
      <c r="C50" s="19">
        <v>2012</v>
      </c>
      <c r="D50" s="38">
        <v>20100082714</v>
      </c>
      <c r="E50" s="14" t="s">
        <v>42</v>
      </c>
      <c r="F50" s="15" t="s">
        <v>43</v>
      </c>
      <c r="G50" s="16" t="str">
        <f t="shared" si="7"/>
        <v>G Comercio al por mayor y al por menor; reparación de vehículos automotores y motocicletas</v>
      </c>
      <c r="H50" s="14" t="str">
        <f t="shared" si="8"/>
        <v>46</v>
      </c>
      <c r="I50" s="17" t="s">
        <v>44</v>
      </c>
      <c r="J50" s="17" t="str">
        <f t="shared" si="2"/>
        <v>46 Comercio al por mayor, excepto el de vehículos automotores y motocicletas</v>
      </c>
      <c r="K50" s="14" t="str">
        <f t="shared" si="9"/>
        <v>466</v>
      </c>
      <c r="L50" s="15" t="s">
        <v>59</v>
      </c>
      <c r="M50" s="18" t="s">
        <v>145</v>
      </c>
      <c r="N50" s="15" t="s">
        <v>146</v>
      </c>
      <c r="O50" s="16" t="str">
        <f t="shared" si="4"/>
        <v>4661 Venta al por mayor de combustible sólidos, líquidos y gaseosos y productos conexos</v>
      </c>
      <c r="P50" s="10">
        <v>165261.56</v>
      </c>
    </row>
    <row r="51" spans="2:16" s="12" customFormat="1" ht="36" x14ac:dyDescent="0.25">
      <c r="B51" s="13" t="s">
        <v>144</v>
      </c>
      <c r="C51" s="19">
        <v>2013</v>
      </c>
      <c r="D51" s="38">
        <v>20100082714</v>
      </c>
      <c r="E51" s="14" t="s">
        <v>42</v>
      </c>
      <c r="F51" s="15" t="s">
        <v>43</v>
      </c>
      <c r="G51" s="16" t="str">
        <f t="shared" si="7"/>
        <v>G Comercio al por mayor y al por menor; reparación de vehículos automotores y motocicletas</v>
      </c>
      <c r="H51" s="14" t="str">
        <f t="shared" si="8"/>
        <v>46</v>
      </c>
      <c r="I51" s="17" t="s">
        <v>44</v>
      </c>
      <c r="J51" s="17" t="str">
        <f t="shared" si="2"/>
        <v>46 Comercio al por mayor, excepto el de vehículos automotores y motocicletas</v>
      </c>
      <c r="K51" s="14" t="str">
        <f t="shared" si="9"/>
        <v>466</v>
      </c>
      <c r="L51" s="15" t="s">
        <v>59</v>
      </c>
      <c r="M51" s="18" t="s">
        <v>145</v>
      </c>
      <c r="N51" s="15" t="s">
        <v>146</v>
      </c>
      <c r="O51" s="16" t="str">
        <f t="shared" si="4"/>
        <v>4661 Venta al por mayor de combustible sólidos, líquidos y gaseosos y productos conexos</v>
      </c>
      <c r="P51" s="10">
        <v>173219.49</v>
      </c>
    </row>
    <row r="52" spans="2:16" s="12" customFormat="1" ht="36" x14ac:dyDescent="0.25">
      <c r="B52" s="13" t="s">
        <v>144</v>
      </c>
      <c r="C52" s="19">
        <v>2014</v>
      </c>
      <c r="D52" s="38">
        <v>20100082714</v>
      </c>
      <c r="E52" s="14" t="s">
        <v>42</v>
      </c>
      <c r="F52" s="15" t="s">
        <v>43</v>
      </c>
      <c r="G52" s="16" t="str">
        <f t="shared" si="7"/>
        <v>G Comercio al por mayor y al por menor; reparación de vehículos automotores y motocicletas</v>
      </c>
      <c r="H52" s="14" t="str">
        <f t="shared" si="8"/>
        <v>46</v>
      </c>
      <c r="I52" s="17" t="s">
        <v>44</v>
      </c>
      <c r="J52" s="17" t="str">
        <f t="shared" si="2"/>
        <v>46 Comercio al por mayor, excepto el de vehículos automotores y motocicletas</v>
      </c>
      <c r="K52" s="14" t="str">
        <f t="shared" si="9"/>
        <v>466</v>
      </c>
      <c r="L52" s="15" t="s">
        <v>59</v>
      </c>
      <c r="M52" s="18" t="s">
        <v>145</v>
      </c>
      <c r="N52" s="15" t="s">
        <v>146</v>
      </c>
      <c r="O52" s="16" t="str">
        <f t="shared" si="4"/>
        <v>4661 Venta al por mayor de combustible sólidos, líquidos y gaseosos y productos conexos</v>
      </c>
      <c r="P52" s="10">
        <v>215305.22</v>
      </c>
    </row>
    <row r="53" spans="2:16" s="12" customFormat="1" ht="36" x14ac:dyDescent="0.25">
      <c r="B53" s="13" t="s">
        <v>58</v>
      </c>
      <c r="C53" s="19">
        <v>2005</v>
      </c>
      <c r="D53" s="38">
        <v>20100087198</v>
      </c>
      <c r="E53" s="14" t="s">
        <v>42</v>
      </c>
      <c r="F53" s="15" t="s">
        <v>43</v>
      </c>
      <c r="G53" s="16" t="str">
        <f t="shared" si="7"/>
        <v>G Comercio al por mayor y al por menor; reparación de vehículos automotores y motocicletas</v>
      </c>
      <c r="H53" s="14" t="str">
        <f t="shared" si="8"/>
        <v>46</v>
      </c>
      <c r="I53" s="17" t="s">
        <v>44</v>
      </c>
      <c r="J53" s="17" t="str">
        <f t="shared" si="2"/>
        <v>46 Comercio al por mayor, excepto el de vehículos automotores y motocicletas</v>
      </c>
      <c r="K53" s="14" t="str">
        <f t="shared" si="9"/>
        <v>466</v>
      </c>
      <c r="L53" s="15" t="s">
        <v>59</v>
      </c>
      <c r="M53" s="18" t="s">
        <v>60</v>
      </c>
      <c r="N53" s="15" t="s">
        <v>61</v>
      </c>
      <c r="O53" s="16" t="str">
        <f t="shared" si="4"/>
        <v>4663 Venta al por mayor de materiales de construcción, artículos de ferretería y equipo y materiales de fontanería y calefacción</v>
      </c>
      <c r="P53" s="10">
        <v>422567.73</v>
      </c>
    </row>
    <row r="54" spans="2:16" s="12" customFormat="1" ht="36" x14ac:dyDescent="0.25">
      <c r="B54" s="13" t="s">
        <v>58</v>
      </c>
      <c r="C54" s="19">
        <v>2006</v>
      </c>
      <c r="D54" s="38">
        <v>20100087198</v>
      </c>
      <c r="E54" s="14" t="s">
        <v>42</v>
      </c>
      <c r="F54" s="15" t="s">
        <v>43</v>
      </c>
      <c r="G54" s="16" t="str">
        <f t="shared" si="7"/>
        <v>G Comercio al por mayor y al por menor; reparación de vehículos automotores y motocicletas</v>
      </c>
      <c r="H54" s="14" t="str">
        <f t="shared" si="8"/>
        <v>46</v>
      </c>
      <c r="I54" s="17" t="s">
        <v>44</v>
      </c>
      <c r="J54" s="17" t="str">
        <f t="shared" si="2"/>
        <v>46 Comercio al por mayor, excepto el de vehículos automotores y motocicletas</v>
      </c>
      <c r="K54" s="14" t="str">
        <f t="shared" si="9"/>
        <v>466</v>
      </c>
      <c r="L54" s="15" t="s">
        <v>59</v>
      </c>
      <c r="M54" s="18" t="s">
        <v>60</v>
      </c>
      <c r="N54" s="15" t="s">
        <v>61</v>
      </c>
      <c r="O54" s="16" t="str">
        <f t="shared" si="4"/>
        <v>4663 Venta al por mayor de materiales de construcción, artículos de ferretería y equipo y materiales de fontanería y calefacción</v>
      </c>
      <c r="P54" s="10">
        <v>40445.550000000003</v>
      </c>
    </row>
    <row r="55" spans="2:16" s="12" customFormat="1" ht="36" x14ac:dyDescent="0.25">
      <c r="B55" s="13" t="s">
        <v>58</v>
      </c>
      <c r="C55" s="19">
        <v>2007</v>
      </c>
      <c r="D55" s="38">
        <v>20100087198</v>
      </c>
      <c r="E55" s="14" t="s">
        <v>42</v>
      </c>
      <c r="F55" s="15" t="s">
        <v>43</v>
      </c>
      <c r="G55" s="16" t="str">
        <f t="shared" si="7"/>
        <v>G Comercio al por mayor y al por menor; reparación de vehículos automotores y motocicletas</v>
      </c>
      <c r="H55" s="14" t="str">
        <f t="shared" si="8"/>
        <v>46</v>
      </c>
      <c r="I55" s="17" t="s">
        <v>44</v>
      </c>
      <c r="J55" s="17" t="str">
        <f t="shared" si="2"/>
        <v>46 Comercio al por mayor, excepto el de vehículos automotores y motocicletas</v>
      </c>
      <c r="K55" s="14" t="str">
        <f t="shared" si="9"/>
        <v>466</v>
      </c>
      <c r="L55" s="15" t="s">
        <v>59</v>
      </c>
      <c r="M55" s="18" t="s">
        <v>60</v>
      </c>
      <c r="N55" s="15" t="s">
        <v>61</v>
      </c>
      <c r="O55" s="16" t="str">
        <f t="shared" si="4"/>
        <v>4663 Venta al por mayor de materiales de construcción, artículos de ferretería y equipo y materiales de fontanería y calefacción</v>
      </c>
      <c r="P55" s="10">
        <v>101003.12</v>
      </c>
    </row>
    <row r="56" spans="2:16" s="12" customFormat="1" ht="36" x14ac:dyDescent="0.25">
      <c r="B56" s="13" t="s">
        <v>58</v>
      </c>
      <c r="C56" s="19">
        <v>2008</v>
      </c>
      <c r="D56" s="38">
        <v>20100087198</v>
      </c>
      <c r="E56" s="14" t="s">
        <v>42</v>
      </c>
      <c r="F56" s="15" t="s">
        <v>43</v>
      </c>
      <c r="G56" s="16" t="str">
        <f t="shared" si="7"/>
        <v>G Comercio al por mayor y al por menor; reparación de vehículos automotores y motocicletas</v>
      </c>
      <c r="H56" s="14" t="str">
        <f t="shared" si="8"/>
        <v>46</v>
      </c>
      <c r="I56" s="17" t="s">
        <v>44</v>
      </c>
      <c r="J56" s="17" t="str">
        <f t="shared" si="2"/>
        <v>46 Comercio al por mayor, excepto el de vehículos automotores y motocicletas</v>
      </c>
      <c r="K56" s="14" t="str">
        <f t="shared" si="9"/>
        <v>466</v>
      </c>
      <c r="L56" s="15" t="s">
        <v>59</v>
      </c>
      <c r="M56" s="18" t="s">
        <v>60</v>
      </c>
      <c r="N56" s="15" t="s">
        <v>61</v>
      </c>
      <c r="O56" s="16" t="str">
        <f t="shared" si="4"/>
        <v>4663 Venta al por mayor de materiales de construcción, artículos de ferretería y equipo y materiales de fontanería y calefacción</v>
      </c>
      <c r="P56" s="10">
        <v>15783.63</v>
      </c>
    </row>
    <row r="57" spans="2:16" s="12" customFormat="1" ht="36" x14ac:dyDescent="0.25">
      <c r="B57" s="13" t="s">
        <v>58</v>
      </c>
      <c r="C57" s="19">
        <v>2009</v>
      </c>
      <c r="D57" s="38">
        <v>20100087198</v>
      </c>
      <c r="E57" s="14" t="s">
        <v>42</v>
      </c>
      <c r="F57" s="15" t="s">
        <v>43</v>
      </c>
      <c r="G57" s="16" t="str">
        <f t="shared" si="7"/>
        <v>G Comercio al por mayor y al por menor; reparación de vehículos automotores y motocicletas</v>
      </c>
      <c r="H57" s="14" t="str">
        <f t="shared" si="8"/>
        <v>46</v>
      </c>
      <c r="I57" s="17" t="s">
        <v>44</v>
      </c>
      <c r="J57" s="17" t="str">
        <f t="shared" si="2"/>
        <v>46 Comercio al por mayor, excepto el de vehículos automotores y motocicletas</v>
      </c>
      <c r="K57" s="14" t="str">
        <f t="shared" si="9"/>
        <v>466</v>
      </c>
      <c r="L57" s="15" t="s">
        <v>59</v>
      </c>
      <c r="M57" s="18" t="s">
        <v>60</v>
      </c>
      <c r="N57" s="15" t="s">
        <v>61</v>
      </c>
      <c r="O57" s="16" t="str">
        <f t="shared" si="4"/>
        <v>4663 Venta al por mayor de materiales de construcción, artículos de ferretería y equipo y materiales de fontanería y calefacción</v>
      </c>
      <c r="P57" s="10">
        <v>29010.44</v>
      </c>
    </row>
    <row r="58" spans="2:16" s="12" customFormat="1" ht="36" x14ac:dyDescent="0.25">
      <c r="B58" s="13" t="s">
        <v>58</v>
      </c>
      <c r="C58" s="19">
        <v>2022</v>
      </c>
      <c r="D58" s="38">
        <v>20100087198</v>
      </c>
      <c r="E58" s="14" t="s">
        <v>42</v>
      </c>
      <c r="F58" s="15" t="s">
        <v>43</v>
      </c>
      <c r="G58" s="16" t="str">
        <f t="shared" si="7"/>
        <v>G Comercio al por mayor y al por menor; reparación de vehículos automotores y motocicletas</v>
      </c>
      <c r="H58" s="14" t="str">
        <f t="shared" si="8"/>
        <v>46</v>
      </c>
      <c r="I58" s="17" t="s">
        <v>44</v>
      </c>
      <c r="J58" s="17" t="str">
        <f t="shared" si="2"/>
        <v>46 Comercio al por mayor, excepto el de vehículos automotores y motocicletas</v>
      </c>
      <c r="K58" s="14" t="str">
        <f t="shared" si="9"/>
        <v>466</v>
      </c>
      <c r="L58" s="15" t="s">
        <v>59</v>
      </c>
      <c r="M58" s="18" t="s">
        <v>60</v>
      </c>
      <c r="N58" s="15" t="s">
        <v>61</v>
      </c>
      <c r="O58" s="16" t="str">
        <f t="shared" si="4"/>
        <v>4663 Venta al por mayor de materiales de construcción, artículos de ferretería y equipo y materiales de fontanería y calefacción</v>
      </c>
      <c r="P58" s="10">
        <v>469176.74</v>
      </c>
    </row>
    <row r="59" spans="2:16" s="12" customFormat="1" ht="24" x14ac:dyDescent="0.25">
      <c r="B59" s="13" t="s">
        <v>308</v>
      </c>
      <c r="C59" s="19">
        <v>2022</v>
      </c>
      <c r="D59" s="38">
        <v>20100108292</v>
      </c>
      <c r="E59" s="14" t="s">
        <v>16</v>
      </c>
      <c r="F59" s="15" t="s">
        <v>17</v>
      </c>
      <c r="G59" s="16" t="str">
        <f t="shared" si="7"/>
        <v>B Explotación de minas y canteras</v>
      </c>
      <c r="H59" s="14" t="str">
        <f t="shared" si="8"/>
        <v>07</v>
      </c>
      <c r="I59" s="17" t="s">
        <v>18</v>
      </c>
      <c r="J59" s="17" t="str">
        <f t="shared" si="2"/>
        <v>07 Extracción de minerales metalíferos</v>
      </c>
      <c r="K59" s="14" t="str">
        <f t="shared" si="9"/>
        <v>072</v>
      </c>
      <c r="L59" s="15" t="s">
        <v>19</v>
      </c>
      <c r="M59" s="18" t="s">
        <v>20</v>
      </c>
      <c r="N59" s="15" t="s">
        <v>21</v>
      </c>
      <c r="O59" s="16" t="str">
        <f t="shared" si="4"/>
        <v>0729 Extracción de otros minerales metalíferos no ferrosos</v>
      </c>
      <c r="P59" s="10">
        <v>39449.760000000002</v>
      </c>
    </row>
    <row r="60" spans="2:16" s="12" customFormat="1" ht="24" x14ac:dyDescent="0.25">
      <c r="B60" s="13" t="s">
        <v>308</v>
      </c>
      <c r="C60" s="19">
        <v>2023</v>
      </c>
      <c r="D60" s="38">
        <v>20100108292</v>
      </c>
      <c r="E60" s="14" t="s">
        <v>16</v>
      </c>
      <c r="F60" s="15" t="s">
        <v>17</v>
      </c>
      <c r="G60" s="16" t="str">
        <f t="shared" si="7"/>
        <v>B Explotación de minas y canteras</v>
      </c>
      <c r="H60" s="14" t="str">
        <f t="shared" si="8"/>
        <v>07</v>
      </c>
      <c r="I60" s="17" t="s">
        <v>18</v>
      </c>
      <c r="J60" s="17" t="str">
        <f t="shared" si="2"/>
        <v>07 Extracción de minerales metalíferos</v>
      </c>
      <c r="K60" s="14" t="str">
        <f t="shared" si="9"/>
        <v>072</v>
      </c>
      <c r="L60" s="15" t="s">
        <v>19</v>
      </c>
      <c r="M60" s="18" t="s">
        <v>20</v>
      </c>
      <c r="N60" s="15" t="s">
        <v>21</v>
      </c>
      <c r="O60" s="16" t="str">
        <f t="shared" si="4"/>
        <v>0729 Extracción de otros minerales metalíferos no ferrosos</v>
      </c>
      <c r="P60" s="10">
        <v>40163.85</v>
      </c>
    </row>
    <row r="61" spans="2:16" s="12" customFormat="1" ht="24" x14ac:dyDescent="0.25">
      <c r="B61" s="13" t="s">
        <v>308</v>
      </c>
      <c r="C61" s="19">
        <v>2007</v>
      </c>
      <c r="D61" s="38">
        <v>20100108292</v>
      </c>
      <c r="E61" s="14" t="s">
        <v>16</v>
      </c>
      <c r="F61" s="15" t="s">
        <v>17</v>
      </c>
      <c r="G61" s="16" t="str">
        <f t="shared" si="7"/>
        <v>B Explotación de minas y canteras</v>
      </c>
      <c r="H61" s="14" t="str">
        <f t="shared" si="8"/>
        <v>07</v>
      </c>
      <c r="I61" s="17" t="s">
        <v>18</v>
      </c>
      <c r="J61" s="17" t="str">
        <f t="shared" si="2"/>
        <v>07 Extracción de minerales metalíferos</v>
      </c>
      <c r="K61" s="14" t="str">
        <f t="shared" si="9"/>
        <v>072</v>
      </c>
      <c r="L61" s="15" t="s">
        <v>19</v>
      </c>
      <c r="M61" s="18" t="s">
        <v>20</v>
      </c>
      <c r="N61" s="15" t="s">
        <v>21</v>
      </c>
      <c r="O61" s="16" t="str">
        <f t="shared" si="4"/>
        <v>0729 Extracción de otros minerales metalíferos no ferrosos</v>
      </c>
      <c r="P61" s="10">
        <v>6014783.25</v>
      </c>
    </row>
    <row r="62" spans="2:16" s="12" customFormat="1" ht="24" x14ac:dyDescent="0.25">
      <c r="B62" s="13" t="s">
        <v>308</v>
      </c>
      <c r="C62" s="19">
        <v>2011</v>
      </c>
      <c r="D62" s="38">
        <v>20100108292</v>
      </c>
      <c r="E62" s="14" t="s">
        <v>16</v>
      </c>
      <c r="F62" s="15" t="s">
        <v>17</v>
      </c>
      <c r="G62" s="16" t="str">
        <f t="shared" si="7"/>
        <v>B Explotación de minas y canteras</v>
      </c>
      <c r="H62" s="14" t="str">
        <f t="shared" si="8"/>
        <v>07</v>
      </c>
      <c r="I62" s="17" t="s">
        <v>18</v>
      </c>
      <c r="J62" s="17" t="str">
        <f t="shared" si="2"/>
        <v>07 Extracción de minerales metalíferos</v>
      </c>
      <c r="K62" s="14" t="str">
        <f t="shared" si="9"/>
        <v>072</v>
      </c>
      <c r="L62" s="15" t="s">
        <v>19</v>
      </c>
      <c r="M62" s="18" t="s">
        <v>20</v>
      </c>
      <c r="N62" s="15" t="s">
        <v>21</v>
      </c>
      <c r="O62" s="16" t="str">
        <f t="shared" si="4"/>
        <v>0729 Extracción de otros minerales metalíferos no ferrosos</v>
      </c>
      <c r="P62" s="10">
        <v>538471.46</v>
      </c>
    </row>
    <row r="63" spans="2:16" s="12" customFormat="1" ht="24" x14ac:dyDescent="0.25">
      <c r="B63" s="13" t="s">
        <v>308</v>
      </c>
      <c r="C63" s="19">
        <v>2012</v>
      </c>
      <c r="D63" s="38">
        <v>20100108292</v>
      </c>
      <c r="E63" s="14" t="s">
        <v>16</v>
      </c>
      <c r="F63" s="15" t="s">
        <v>17</v>
      </c>
      <c r="G63" s="16" t="str">
        <f t="shared" si="7"/>
        <v>B Explotación de minas y canteras</v>
      </c>
      <c r="H63" s="14" t="str">
        <f t="shared" si="8"/>
        <v>07</v>
      </c>
      <c r="I63" s="17" t="s">
        <v>18</v>
      </c>
      <c r="J63" s="17" t="str">
        <f t="shared" si="2"/>
        <v>07 Extracción de minerales metalíferos</v>
      </c>
      <c r="K63" s="14" t="str">
        <f t="shared" si="9"/>
        <v>072</v>
      </c>
      <c r="L63" s="15" t="s">
        <v>19</v>
      </c>
      <c r="M63" s="18" t="s">
        <v>20</v>
      </c>
      <c r="N63" s="15" t="s">
        <v>21</v>
      </c>
      <c r="O63" s="16" t="str">
        <f t="shared" si="4"/>
        <v>0729 Extracción de otros minerales metalíferos no ferrosos</v>
      </c>
      <c r="P63" s="10">
        <v>3343004.74</v>
      </c>
    </row>
    <row r="64" spans="2:16" s="12" customFormat="1" ht="24" x14ac:dyDescent="0.25">
      <c r="B64" s="13" t="s">
        <v>308</v>
      </c>
      <c r="C64" s="19">
        <v>2017</v>
      </c>
      <c r="D64" s="38">
        <v>20100108292</v>
      </c>
      <c r="E64" s="14" t="s">
        <v>16</v>
      </c>
      <c r="F64" s="15" t="s">
        <v>17</v>
      </c>
      <c r="G64" s="16" t="str">
        <f t="shared" si="7"/>
        <v>B Explotación de minas y canteras</v>
      </c>
      <c r="H64" s="14" t="str">
        <f t="shared" si="8"/>
        <v>07</v>
      </c>
      <c r="I64" s="17" t="s">
        <v>18</v>
      </c>
      <c r="J64" s="17" t="str">
        <f t="shared" si="2"/>
        <v>07 Extracción de minerales metalíferos</v>
      </c>
      <c r="K64" s="14" t="str">
        <f t="shared" si="9"/>
        <v>072</v>
      </c>
      <c r="L64" s="15" t="s">
        <v>19</v>
      </c>
      <c r="M64" s="18" t="s">
        <v>20</v>
      </c>
      <c r="N64" s="15" t="s">
        <v>21</v>
      </c>
      <c r="O64" s="16" t="str">
        <f t="shared" si="4"/>
        <v>0729 Extracción de otros minerales metalíferos no ferrosos</v>
      </c>
      <c r="P64" s="10">
        <v>2594.5</v>
      </c>
    </row>
    <row r="65" spans="1:16" s="12" customFormat="1" ht="24" x14ac:dyDescent="0.25">
      <c r="B65" s="13" t="s">
        <v>308</v>
      </c>
      <c r="C65" s="19">
        <v>2018</v>
      </c>
      <c r="D65" s="38">
        <v>20100108292</v>
      </c>
      <c r="E65" s="14" t="s">
        <v>16</v>
      </c>
      <c r="F65" s="15" t="s">
        <v>17</v>
      </c>
      <c r="G65" s="16" t="str">
        <f t="shared" si="7"/>
        <v>B Explotación de minas y canteras</v>
      </c>
      <c r="H65" s="14" t="str">
        <f t="shared" si="8"/>
        <v>07</v>
      </c>
      <c r="I65" s="17" t="s">
        <v>18</v>
      </c>
      <c r="J65" s="17" t="str">
        <f t="shared" si="2"/>
        <v>07 Extracción de minerales metalíferos</v>
      </c>
      <c r="K65" s="14" t="str">
        <f t="shared" si="9"/>
        <v>072</v>
      </c>
      <c r="L65" s="15" t="s">
        <v>19</v>
      </c>
      <c r="M65" s="18" t="s">
        <v>20</v>
      </c>
      <c r="N65" s="15" t="s">
        <v>21</v>
      </c>
      <c r="O65" s="16" t="str">
        <f t="shared" si="4"/>
        <v>0729 Extracción de otros minerales metalíferos no ferrosos</v>
      </c>
      <c r="P65" s="10">
        <v>121277.15</v>
      </c>
    </row>
    <row r="66" spans="1:16" s="12" customFormat="1" ht="24" x14ac:dyDescent="0.25">
      <c r="B66" s="13" t="s">
        <v>308</v>
      </c>
      <c r="C66" s="19">
        <v>2019</v>
      </c>
      <c r="D66" s="38">
        <v>20100108292</v>
      </c>
      <c r="E66" s="14" t="s">
        <v>16</v>
      </c>
      <c r="F66" s="15" t="s">
        <v>17</v>
      </c>
      <c r="G66" s="16" t="str">
        <f t="shared" ref="G66:G77" si="10">E66&amp;" "&amp;F66</f>
        <v>B Explotación de minas y canteras</v>
      </c>
      <c r="H66" s="14" t="str">
        <f t="shared" si="8"/>
        <v>07</v>
      </c>
      <c r="I66" s="17" t="s">
        <v>18</v>
      </c>
      <c r="J66" s="17" t="str">
        <f t="shared" ref="J66:J129" si="11">H66&amp;" "&amp;I66</f>
        <v>07 Extracción de minerales metalíferos</v>
      </c>
      <c r="K66" s="14" t="str">
        <f t="shared" si="9"/>
        <v>072</v>
      </c>
      <c r="L66" s="15" t="s">
        <v>19</v>
      </c>
      <c r="M66" s="18" t="s">
        <v>20</v>
      </c>
      <c r="N66" s="15" t="s">
        <v>21</v>
      </c>
      <c r="O66" s="16" t="str">
        <f t="shared" ref="O66:O129" si="12">M66&amp;" "&amp;N66</f>
        <v>0729 Extracción de otros minerales metalíferos no ferrosos</v>
      </c>
      <c r="P66" s="10">
        <v>134670.78</v>
      </c>
    </row>
    <row r="67" spans="1:16" s="12" customFormat="1" ht="24" x14ac:dyDescent="0.25">
      <c r="B67" s="22" t="s">
        <v>106</v>
      </c>
      <c r="C67" s="48">
        <v>2006</v>
      </c>
      <c r="D67" s="40">
        <v>20100110513</v>
      </c>
      <c r="E67" s="14" t="s">
        <v>16</v>
      </c>
      <c r="F67" s="15" t="s">
        <v>17</v>
      </c>
      <c r="G67" s="16" t="str">
        <f t="shared" si="10"/>
        <v>B Explotación de minas y canteras</v>
      </c>
      <c r="H67" s="14" t="str">
        <f t="shared" si="8"/>
        <v>07</v>
      </c>
      <c r="I67" s="17" t="s">
        <v>18</v>
      </c>
      <c r="J67" s="17" t="str">
        <f t="shared" si="11"/>
        <v>07 Extracción de minerales metalíferos</v>
      </c>
      <c r="K67" s="14" t="str">
        <f t="shared" si="9"/>
        <v>072</v>
      </c>
      <c r="L67" s="15" t="s">
        <v>19</v>
      </c>
      <c r="M67" s="18" t="s">
        <v>20</v>
      </c>
      <c r="N67" s="15" t="s">
        <v>21</v>
      </c>
      <c r="O67" s="16" t="str">
        <f t="shared" si="12"/>
        <v>0729 Extracción de otros minerales metalíferos no ferrosos</v>
      </c>
      <c r="P67" s="10">
        <v>22458.99</v>
      </c>
    </row>
    <row r="68" spans="1:16" s="12" customFormat="1" ht="24" x14ac:dyDescent="0.25">
      <c r="B68" s="22" t="s">
        <v>106</v>
      </c>
      <c r="C68" s="48">
        <v>2007</v>
      </c>
      <c r="D68" s="40">
        <v>20100110513</v>
      </c>
      <c r="E68" s="14" t="s">
        <v>16</v>
      </c>
      <c r="F68" s="15" t="s">
        <v>17</v>
      </c>
      <c r="G68" s="16" t="str">
        <f t="shared" si="10"/>
        <v>B Explotación de minas y canteras</v>
      </c>
      <c r="H68" s="14" t="str">
        <f t="shared" si="8"/>
        <v>07</v>
      </c>
      <c r="I68" s="17" t="s">
        <v>18</v>
      </c>
      <c r="J68" s="17" t="str">
        <f t="shared" si="11"/>
        <v>07 Extracción de minerales metalíferos</v>
      </c>
      <c r="K68" s="14" t="str">
        <f t="shared" si="9"/>
        <v>072</v>
      </c>
      <c r="L68" s="15" t="s">
        <v>19</v>
      </c>
      <c r="M68" s="18" t="s">
        <v>20</v>
      </c>
      <c r="N68" s="15" t="s">
        <v>21</v>
      </c>
      <c r="O68" s="16" t="str">
        <f t="shared" si="12"/>
        <v>0729 Extracción de otros minerales metalíferos no ferrosos</v>
      </c>
      <c r="P68" s="10">
        <v>697954</v>
      </c>
    </row>
    <row r="69" spans="1:16" s="12" customFormat="1" ht="24" x14ac:dyDescent="0.25">
      <c r="B69" s="22" t="s">
        <v>106</v>
      </c>
      <c r="C69" s="48">
        <v>2008</v>
      </c>
      <c r="D69" s="40">
        <v>20100110513</v>
      </c>
      <c r="E69" s="14" t="s">
        <v>16</v>
      </c>
      <c r="F69" s="15" t="s">
        <v>17</v>
      </c>
      <c r="G69" s="16" t="str">
        <f t="shared" si="10"/>
        <v>B Explotación de minas y canteras</v>
      </c>
      <c r="H69" s="14" t="str">
        <f t="shared" si="8"/>
        <v>07</v>
      </c>
      <c r="I69" s="17" t="s">
        <v>18</v>
      </c>
      <c r="J69" s="17" t="str">
        <f t="shared" si="11"/>
        <v>07 Extracción de minerales metalíferos</v>
      </c>
      <c r="K69" s="14" t="str">
        <f t="shared" si="9"/>
        <v>072</v>
      </c>
      <c r="L69" s="15" t="s">
        <v>19</v>
      </c>
      <c r="M69" s="18" t="s">
        <v>20</v>
      </c>
      <c r="N69" s="15" t="s">
        <v>21</v>
      </c>
      <c r="O69" s="16" t="str">
        <f t="shared" si="12"/>
        <v>0729 Extracción de otros minerales metalíferos no ferrosos</v>
      </c>
      <c r="P69" s="10">
        <v>86883.28</v>
      </c>
    </row>
    <row r="70" spans="1:16" s="12" customFormat="1" ht="24" x14ac:dyDescent="0.25">
      <c r="B70" s="13" t="s">
        <v>226</v>
      </c>
      <c r="C70" s="19">
        <v>2016</v>
      </c>
      <c r="D70" s="38">
        <v>20100113610</v>
      </c>
      <c r="E70" s="14" t="s">
        <v>23</v>
      </c>
      <c r="F70" s="15" t="s">
        <v>24</v>
      </c>
      <c r="G70" s="16" t="str">
        <f t="shared" si="10"/>
        <v>C Industria manufacturera</v>
      </c>
      <c r="H70" s="14" t="str">
        <f t="shared" si="8"/>
        <v>11</v>
      </c>
      <c r="I70" s="17" t="s">
        <v>64</v>
      </c>
      <c r="J70" s="17" t="str">
        <f t="shared" si="11"/>
        <v>11 Elaboración de bebidas</v>
      </c>
      <c r="K70" s="14" t="str">
        <f t="shared" si="9"/>
        <v>110</v>
      </c>
      <c r="L70" s="15" t="s">
        <v>64</v>
      </c>
      <c r="M70" s="18" t="s">
        <v>65</v>
      </c>
      <c r="N70" s="15" t="s">
        <v>66</v>
      </c>
      <c r="O70" s="16" t="str">
        <f t="shared" si="12"/>
        <v>1103 Elaboración de bebidas malteadas y de malta</v>
      </c>
      <c r="P70" s="10">
        <v>49636.57</v>
      </c>
    </row>
    <row r="71" spans="1:16" s="12" customFormat="1" ht="24" x14ac:dyDescent="0.25">
      <c r="B71" s="13" t="s">
        <v>226</v>
      </c>
      <c r="C71" s="19">
        <v>2016</v>
      </c>
      <c r="D71" s="38">
        <v>20100113610</v>
      </c>
      <c r="E71" s="14" t="s">
        <v>23</v>
      </c>
      <c r="F71" s="15" t="s">
        <v>24</v>
      </c>
      <c r="G71" s="16" t="str">
        <f t="shared" si="10"/>
        <v>C Industria manufacturera</v>
      </c>
      <c r="H71" s="14" t="str">
        <f t="shared" si="8"/>
        <v>11</v>
      </c>
      <c r="I71" s="17" t="s">
        <v>64</v>
      </c>
      <c r="J71" s="17" t="str">
        <f t="shared" si="11"/>
        <v>11 Elaboración de bebidas</v>
      </c>
      <c r="K71" s="14" t="str">
        <f t="shared" si="9"/>
        <v>110</v>
      </c>
      <c r="L71" s="15" t="s">
        <v>64</v>
      </c>
      <c r="M71" s="18" t="s">
        <v>65</v>
      </c>
      <c r="N71" s="15" t="s">
        <v>66</v>
      </c>
      <c r="O71" s="16" t="str">
        <f t="shared" si="12"/>
        <v>1103 Elaboración de bebidas malteadas y de malta</v>
      </c>
      <c r="P71" s="10">
        <v>68038.92</v>
      </c>
    </row>
    <row r="72" spans="1:16" s="12" customFormat="1" ht="24" x14ac:dyDescent="0.25">
      <c r="B72" s="13" t="s">
        <v>226</v>
      </c>
      <c r="C72" s="19">
        <v>2016</v>
      </c>
      <c r="D72" s="38">
        <v>20100113610</v>
      </c>
      <c r="E72" s="14" t="s">
        <v>23</v>
      </c>
      <c r="F72" s="15" t="s">
        <v>24</v>
      </c>
      <c r="G72" s="16" t="str">
        <f t="shared" si="10"/>
        <v>C Industria manufacturera</v>
      </c>
      <c r="H72" s="14" t="str">
        <f t="shared" si="8"/>
        <v>11</v>
      </c>
      <c r="I72" s="17" t="s">
        <v>64</v>
      </c>
      <c r="J72" s="17" t="str">
        <f t="shared" si="11"/>
        <v>11 Elaboración de bebidas</v>
      </c>
      <c r="K72" s="14" t="str">
        <f t="shared" si="9"/>
        <v>110</v>
      </c>
      <c r="L72" s="15" t="s">
        <v>64</v>
      </c>
      <c r="M72" s="18" t="s">
        <v>65</v>
      </c>
      <c r="N72" s="15" t="s">
        <v>66</v>
      </c>
      <c r="O72" s="16" t="str">
        <f t="shared" si="12"/>
        <v>1103 Elaboración de bebidas malteadas y de malta</v>
      </c>
      <c r="P72" s="10">
        <v>11896.14</v>
      </c>
    </row>
    <row r="73" spans="1:16" s="12" customFormat="1" ht="24" x14ac:dyDescent="0.25">
      <c r="B73" s="13" t="s">
        <v>226</v>
      </c>
      <c r="C73" s="19">
        <v>2016</v>
      </c>
      <c r="D73" s="38">
        <v>20100113610</v>
      </c>
      <c r="E73" s="14" t="s">
        <v>23</v>
      </c>
      <c r="F73" s="15" t="s">
        <v>24</v>
      </c>
      <c r="G73" s="16" t="str">
        <f t="shared" si="10"/>
        <v>C Industria manufacturera</v>
      </c>
      <c r="H73" s="14" t="str">
        <f t="shared" si="8"/>
        <v>11</v>
      </c>
      <c r="I73" s="17" t="s">
        <v>64</v>
      </c>
      <c r="J73" s="17" t="str">
        <f t="shared" si="11"/>
        <v>11 Elaboración de bebidas</v>
      </c>
      <c r="K73" s="14" t="str">
        <f t="shared" si="9"/>
        <v>110</v>
      </c>
      <c r="L73" s="15" t="s">
        <v>64</v>
      </c>
      <c r="M73" s="18" t="s">
        <v>65</v>
      </c>
      <c r="N73" s="15" t="s">
        <v>66</v>
      </c>
      <c r="O73" s="16" t="str">
        <f t="shared" si="12"/>
        <v>1103 Elaboración de bebidas malteadas y de malta</v>
      </c>
      <c r="P73" s="10">
        <v>6955.14</v>
      </c>
    </row>
    <row r="74" spans="1:16" s="12" customFormat="1" ht="24" x14ac:dyDescent="0.25">
      <c r="B74" s="13" t="s">
        <v>226</v>
      </c>
      <c r="C74" s="19">
        <v>2016</v>
      </c>
      <c r="D74" s="38">
        <v>20100113610</v>
      </c>
      <c r="E74" s="14" t="s">
        <v>23</v>
      </c>
      <c r="F74" s="15" t="s">
        <v>24</v>
      </c>
      <c r="G74" s="16" t="str">
        <f t="shared" si="10"/>
        <v>C Industria manufacturera</v>
      </c>
      <c r="H74" s="14" t="str">
        <f t="shared" si="8"/>
        <v>11</v>
      </c>
      <c r="I74" s="17" t="s">
        <v>64</v>
      </c>
      <c r="J74" s="17" t="str">
        <f t="shared" si="11"/>
        <v>11 Elaboración de bebidas</v>
      </c>
      <c r="K74" s="14" t="str">
        <f t="shared" si="9"/>
        <v>110</v>
      </c>
      <c r="L74" s="15" t="s">
        <v>64</v>
      </c>
      <c r="M74" s="18" t="s">
        <v>65</v>
      </c>
      <c r="N74" s="15" t="s">
        <v>66</v>
      </c>
      <c r="O74" s="16" t="str">
        <f t="shared" si="12"/>
        <v>1103 Elaboración de bebidas malteadas y de malta</v>
      </c>
      <c r="P74" s="10">
        <v>6625.01</v>
      </c>
    </row>
    <row r="75" spans="1:16" s="12" customFormat="1" ht="24" x14ac:dyDescent="0.25">
      <c r="B75" s="13" t="s">
        <v>226</v>
      </c>
      <c r="C75" s="19">
        <v>2016</v>
      </c>
      <c r="D75" s="38">
        <v>20100113610</v>
      </c>
      <c r="E75" s="14" t="s">
        <v>23</v>
      </c>
      <c r="F75" s="15" t="s">
        <v>24</v>
      </c>
      <c r="G75" s="16" t="str">
        <f t="shared" si="10"/>
        <v>C Industria manufacturera</v>
      </c>
      <c r="H75" s="14" t="str">
        <f t="shared" si="8"/>
        <v>11</v>
      </c>
      <c r="I75" s="17" t="s">
        <v>64</v>
      </c>
      <c r="J75" s="17" t="str">
        <f t="shared" si="11"/>
        <v>11 Elaboración de bebidas</v>
      </c>
      <c r="K75" s="14" t="str">
        <f t="shared" si="9"/>
        <v>110</v>
      </c>
      <c r="L75" s="15" t="s">
        <v>64</v>
      </c>
      <c r="M75" s="18" t="s">
        <v>65</v>
      </c>
      <c r="N75" s="15" t="s">
        <v>66</v>
      </c>
      <c r="O75" s="16" t="str">
        <f t="shared" si="12"/>
        <v>1103 Elaboración de bebidas malteadas y de malta</v>
      </c>
      <c r="P75" s="10">
        <v>1603.68</v>
      </c>
    </row>
    <row r="76" spans="1:16" s="12" customFormat="1" ht="36" x14ac:dyDescent="0.25">
      <c r="B76" s="13" t="s">
        <v>284</v>
      </c>
      <c r="C76" s="19">
        <v>2021</v>
      </c>
      <c r="D76" s="38">
        <v>20100127912</v>
      </c>
      <c r="E76" s="14" t="s">
        <v>23</v>
      </c>
      <c r="F76" s="15" t="s">
        <v>24</v>
      </c>
      <c r="G76" s="16" t="str">
        <f t="shared" si="10"/>
        <v>C Industria manufacturera</v>
      </c>
      <c r="H76" s="14" t="str">
        <f t="shared" si="8"/>
        <v>46</v>
      </c>
      <c r="I76" s="17" t="s">
        <v>168</v>
      </c>
      <c r="J76" s="17" t="str">
        <f t="shared" si="11"/>
        <v>46 Elaboración de productos alimenticios</v>
      </c>
      <c r="K76" s="14" t="str">
        <f t="shared" si="9"/>
        <v>469</v>
      </c>
      <c r="L76" s="15" t="s">
        <v>169</v>
      </c>
      <c r="M76" s="18" t="s">
        <v>46</v>
      </c>
      <c r="N76" s="15" t="s">
        <v>45</v>
      </c>
      <c r="O76" s="16" t="str">
        <f t="shared" si="12"/>
        <v>4690 Venta al por mayor no especializada</v>
      </c>
      <c r="P76" s="10">
        <v>21882.46</v>
      </c>
    </row>
    <row r="77" spans="1:16" s="12" customFormat="1" ht="36" x14ac:dyDescent="0.25">
      <c r="B77" s="13" t="s">
        <v>284</v>
      </c>
      <c r="C77" s="19">
        <v>2022</v>
      </c>
      <c r="D77" s="38">
        <v>20100127912</v>
      </c>
      <c r="E77" s="14" t="s">
        <v>23</v>
      </c>
      <c r="F77" s="15" t="s">
        <v>24</v>
      </c>
      <c r="G77" s="16" t="str">
        <f t="shared" si="10"/>
        <v>C Industria manufacturera</v>
      </c>
      <c r="H77" s="14" t="str">
        <f t="shared" si="8"/>
        <v>46</v>
      </c>
      <c r="I77" s="17" t="s">
        <v>168</v>
      </c>
      <c r="J77" s="17" t="str">
        <f t="shared" si="11"/>
        <v>46 Elaboración de productos alimenticios</v>
      </c>
      <c r="K77" s="14" t="str">
        <f t="shared" si="9"/>
        <v>469</v>
      </c>
      <c r="L77" s="15" t="s">
        <v>169</v>
      </c>
      <c r="M77" s="18" t="s">
        <v>46</v>
      </c>
      <c r="N77" s="15" t="s">
        <v>45</v>
      </c>
      <c r="O77" s="16" t="str">
        <f t="shared" si="12"/>
        <v>4690 Venta al por mayor no especializada</v>
      </c>
      <c r="P77" s="10">
        <v>11821.65</v>
      </c>
    </row>
    <row r="78" spans="1:16" s="12" customFormat="1" x14ac:dyDescent="0.25">
      <c r="B78" s="13" t="s">
        <v>339</v>
      </c>
      <c r="C78" s="19">
        <v>2024</v>
      </c>
      <c r="D78" s="38">
        <v>20100128307</v>
      </c>
      <c r="E78" s="14" t="s">
        <v>108</v>
      </c>
      <c r="F78" s="15" t="s">
        <v>109</v>
      </c>
      <c r="G78" s="16" t="s">
        <v>340</v>
      </c>
      <c r="H78" s="14">
        <v>52</v>
      </c>
      <c r="I78" s="17" t="s">
        <v>110</v>
      </c>
      <c r="J78" s="17" t="str">
        <f t="shared" si="11"/>
        <v xml:space="preserve">52 Almacenamiento y actividades de apoyo al transporte </v>
      </c>
      <c r="K78" s="14">
        <v>522</v>
      </c>
      <c r="L78" s="15" t="s">
        <v>341</v>
      </c>
      <c r="M78" s="18" t="s">
        <v>342</v>
      </c>
      <c r="N78" s="15" t="s">
        <v>343</v>
      </c>
      <c r="O78" s="16" t="str">
        <f t="shared" si="12"/>
        <v>5229 Otras actividades de apoyo al transporte</v>
      </c>
      <c r="P78" s="10">
        <v>4266.68</v>
      </c>
    </row>
    <row r="79" spans="1:16" s="12" customFormat="1" x14ac:dyDescent="0.25">
      <c r="A79" s="12">
        <v>13</v>
      </c>
      <c r="B79" s="13" t="s">
        <v>378</v>
      </c>
      <c r="C79" s="19">
        <v>2025</v>
      </c>
      <c r="D79" s="38">
        <v>20100128307</v>
      </c>
      <c r="E79" s="14" t="s">
        <v>108</v>
      </c>
      <c r="F79" s="15" t="s">
        <v>109</v>
      </c>
      <c r="G79" s="16" t="s">
        <v>340</v>
      </c>
      <c r="H79" s="14">
        <v>52</v>
      </c>
      <c r="I79" s="17" t="s">
        <v>110</v>
      </c>
      <c r="J79" s="17" t="str">
        <f t="shared" si="11"/>
        <v xml:space="preserve">52 Almacenamiento y actividades de apoyo al transporte </v>
      </c>
      <c r="K79" s="14">
        <v>522</v>
      </c>
      <c r="L79" s="15" t="s">
        <v>341</v>
      </c>
      <c r="M79" s="18" t="s">
        <v>342</v>
      </c>
      <c r="N79" s="15" t="s">
        <v>343</v>
      </c>
      <c r="O79" s="16" t="str">
        <f t="shared" si="12"/>
        <v>5229 Otras actividades de apoyo al transporte</v>
      </c>
      <c r="P79" s="10">
        <v>132762.51999999999</v>
      </c>
    </row>
    <row r="80" spans="1:16" s="12" customFormat="1" ht="36" x14ac:dyDescent="0.25">
      <c r="B80" s="13" t="s">
        <v>118</v>
      </c>
      <c r="C80" s="19">
        <v>2007</v>
      </c>
      <c r="D80" s="38">
        <v>20100131863</v>
      </c>
      <c r="E80" s="14" t="s">
        <v>42</v>
      </c>
      <c r="F80" s="15" t="s">
        <v>43</v>
      </c>
      <c r="G80" s="16" t="str">
        <f t="shared" ref="G80:G143" si="13">E80&amp;" "&amp;F80</f>
        <v>G Comercio al por mayor y al por menor; reparación de vehículos automotores y motocicletas</v>
      </c>
      <c r="H80" s="14" t="str">
        <f t="shared" ref="H80:H95" si="14">LEFT(K80,2)</f>
        <v>47</v>
      </c>
      <c r="I80" s="17" t="s">
        <v>119</v>
      </c>
      <c r="J80" s="17" t="str">
        <f t="shared" si="11"/>
        <v>47 Comercio al por menor, excepto el de vehículos automotores y motocicletas</v>
      </c>
      <c r="K80" s="14" t="str">
        <f t="shared" ref="K80:K111" si="15">LEFT(M80,3)</f>
        <v>475</v>
      </c>
      <c r="L80" s="15" t="s">
        <v>120</v>
      </c>
      <c r="M80" s="18" t="s">
        <v>121</v>
      </c>
      <c r="N80" s="15" t="s">
        <v>122</v>
      </c>
      <c r="O80" s="16" t="str">
        <f t="shared" si="12"/>
        <v>4759 Venta al por menor de prendas articulos electricos</v>
      </c>
      <c r="P80" s="10">
        <v>99.89</v>
      </c>
    </row>
    <row r="81" spans="1:16" s="12" customFormat="1" ht="36" x14ac:dyDescent="0.25">
      <c r="B81" s="13" t="s">
        <v>134</v>
      </c>
      <c r="C81" s="19">
        <v>2009</v>
      </c>
      <c r="D81" s="38">
        <v>20100132592</v>
      </c>
      <c r="E81" s="14" t="s">
        <v>42</v>
      </c>
      <c r="F81" s="15" t="s">
        <v>43</v>
      </c>
      <c r="G81" s="16" t="str">
        <f t="shared" si="13"/>
        <v>G Comercio al por mayor y al por menor; reparación de vehículos automotores y motocicletas</v>
      </c>
      <c r="H81" s="14" t="str">
        <f t="shared" si="14"/>
        <v>45</v>
      </c>
      <c r="I81" s="17" t="s">
        <v>135</v>
      </c>
      <c r="J81" s="17" t="str">
        <f t="shared" si="11"/>
        <v>45 Comercio al por mayor y al por menor y reparación de vehículos automotores y motocicletas</v>
      </c>
      <c r="K81" s="14" t="str">
        <f t="shared" si="15"/>
        <v>451</v>
      </c>
      <c r="L81" s="15" t="s">
        <v>136</v>
      </c>
      <c r="M81" s="18" t="s">
        <v>137</v>
      </c>
      <c r="N81" s="15" t="s">
        <v>136</v>
      </c>
      <c r="O81" s="16" t="str">
        <f t="shared" si="12"/>
        <v>4510 Venta de vehículos automotores</v>
      </c>
      <c r="P81" s="10">
        <v>6006.64</v>
      </c>
    </row>
    <row r="82" spans="1:16" s="12" customFormat="1" ht="36" x14ac:dyDescent="0.25">
      <c r="B82" s="13" t="s">
        <v>134</v>
      </c>
      <c r="C82" s="19">
        <v>2014</v>
      </c>
      <c r="D82" s="38">
        <v>20100132592</v>
      </c>
      <c r="E82" s="14" t="s">
        <v>42</v>
      </c>
      <c r="F82" s="15" t="s">
        <v>43</v>
      </c>
      <c r="G82" s="16" t="str">
        <f t="shared" si="13"/>
        <v>G Comercio al por mayor y al por menor; reparación de vehículos automotores y motocicletas</v>
      </c>
      <c r="H82" s="14" t="str">
        <f t="shared" si="14"/>
        <v>45</v>
      </c>
      <c r="I82" s="17" t="s">
        <v>135</v>
      </c>
      <c r="J82" s="17" t="str">
        <f t="shared" si="11"/>
        <v>45 Comercio al por mayor y al por menor y reparación de vehículos automotores y motocicletas</v>
      </c>
      <c r="K82" s="14" t="str">
        <f t="shared" si="15"/>
        <v>451</v>
      </c>
      <c r="L82" s="15" t="s">
        <v>136</v>
      </c>
      <c r="M82" s="18" t="s">
        <v>137</v>
      </c>
      <c r="N82" s="15" t="s">
        <v>136</v>
      </c>
      <c r="O82" s="16" t="str">
        <f t="shared" si="12"/>
        <v>4510 Venta de vehículos automotores</v>
      </c>
      <c r="P82" s="10">
        <v>500329.94</v>
      </c>
    </row>
    <row r="83" spans="1:16" s="12" customFormat="1" ht="36" x14ac:dyDescent="0.25">
      <c r="B83" s="13" t="s">
        <v>134</v>
      </c>
      <c r="C83" s="19">
        <v>2015</v>
      </c>
      <c r="D83" s="38">
        <v>20100132592</v>
      </c>
      <c r="E83" s="14" t="s">
        <v>42</v>
      </c>
      <c r="F83" s="15" t="s">
        <v>43</v>
      </c>
      <c r="G83" s="16" t="str">
        <f t="shared" si="13"/>
        <v>G Comercio al por mayor y al por menor; reparación de vehículos automotores y motocicletas</v>
      </c>
      <c r="H83" s="14" t="str">
        <f t="shared" si="14"/>
        <v>45</v>
      </c>
      <c r="I83" s="17" t="s">
        <v>135</v>
      </c>
      <c r="J83" s="17" t="str">
        <f t="shared" si="11"/>
        <v>45 Comercio al por mayor y al por menor y reparación de vehículos automotores y motocicletas</v>
      </c>
      <c r="K83" s="14" t="str">
        <f t="shared" si="15"/>
        <v>451</v>
      </c>
      <c r="L83" s="15" t="s">
        <v>136</v>
      </c>
      <c r="M83" s="18" t="s">
        <v>137</v>
      </c>
      <c r="N83" s="15" t="s">
        <v>136</v>
      </c>
      <c r="O83" s="16" t="str">
        <f t="shared" si="12"/>
        <v>4510 Venta de vehículos automotores</v>
      </c>
      <c r="P83" s="10">
        <v>164.63</v>
      </c>
    </row>
    <row r="84" spans="1:16" s="12" customFormat="1" ht="36" x14ac:dyDescent="0.25">
      <c r="B84" s="13" t="s">
        <v>134</v>
      </c>
      <c r="C84" s="19">
        <v>2020</v>
      </c>
      <c r="D84" s="38">
        <v>20100132592</v>
      </c>
      <c r="E84" s="14" t="s">
        <v>42</v>
      </c>
      <c r="F84" s="15" t="s">
        <v>43</v>
      </c>
      <c r="G84" s="16" t="str">
        <f t="shared" si="13"/>
        <v>G Comercio al por mayor y al por menor; reparación de vehículos automotores y motocicletas</v>
      </c>
      <c r="H84" s="14" t="str">
        <f t="shared" si="14"/>
        <v>45</v>
      </c>
      <c r="I84" s="17" t="s">
        <v>135</v>
      </c>
      <c r="J84" s="17" t="str">
        <f t="shared" si="11"/>
        <v>45 Comercio al por mayor y al por menor y reparación de vehículos automotores y motocicletas</v>
      </c>
      <c r="K84" s="14" t="str">
        <f t="shared" si="15"/>
        <v>451</v>
      </c>
      <c r="L84" s="15" t="s">
        <v>136</v>
      </c>
      <c r="M84" s="18" t="s">
        <v>137</v>
      </c>
      <c r="N84" s="15" t="s">
        <v>136</v>
      </c>
      <c r="O84" s="16" t="str">
        <f t="shared" si="12"/>
        <v>4510 Venta de vehículos automotores</v>
      </c>
      <c r="P84" s="10">
        <v>693.31</v>
      </c>
    </row>
    <row r="85" spans="1:16" s="12" customFormat="1" ht="36" x14ac:dyDescent="0.25">
      <c r="B85" s="13" t="s">
        <v>134</v>
      </c>
      <c r="C85" s="19">
        <v>2022</v>
      </c>
      <c r="D85" s="38">
        <v>20100132592</v>
      </c>
      <c r="E85" s="14" t="s">
        <v>42</v>
      </c>
      <c r="F85" s="15" t="s">
        <v>43</v>
      </c>
      <c r="G85" s="16" t="str">
        <f t="shared" si="13"/>
        <v>G Comercio al por mayor y al por menor; reparación de vehículos automotores y motocicletas</v>
      </c>
      <c r="H85" s="14" t="str">
        <f t="shared" si="14"/>
        <v>45</v>
      </c>
      <c r="I85" s="17" t="s">
        <v>135</v>
      </c>
      <c r="J85" s="17" t="str">
        <f t="shared" si="11"/>
        <v>45 Comercio al por mayor y al por menor y reparación de vehículos automotores y motocicletas</v>
      </c>
      <c r="K85" s="14" t="str">
        <f t="shared" si="15"/>
        <v>451</v>
      </c>
      <c r="L85" s="15" t="s">
        <v>136</v>
      </c>
      <c r="M85" s="18" t="s">
        <v>137</v>
      </c>
      <c r="N85" s="15" t="s">
        <v>136</v>
      </c>
      <c r="O85" s="16" t="str">
        <f t="shared" si="12"/>
        <v>4510 Venta de vehículos automotores</v>
      </c>
      <c r="P85" s="10">
        <v>792121.37</v>
      </c>
    </row>
    <row r="86" spans="1:16" s="12" customFormat="1" ht="36" x14ac:dyDescent="0.25">
      <c r="B86" s="13" t="s">
        <v>134</v>
      </c>
      <c r="C86" s="19">
        <v>2023</v>
      </c>
      <c r="D86" s="38">
        <v>20100132592</v>
      </c>
      <c r="E86" s="14" t="s">
        <v>42</v>
      </c>
      <c r="F86" s="15" t="s">
        <v>43</v>
      </c>
      <c r="G86" s="16" t="str">
        <f t="shared" si="13"/>
        <v>G Comercio al por mayor y al por menor; reparación de vehículos automotores y motocicletas</v>
      </c>
      <c r="H86" s="14" t="str">
        <f t="shared" si="14"/>
        <v>45</v>
      </c>
      <c r="I86" s="17" t="s">
        <v>135</v>
      </c>
      <c r="J86" s="17" t="str">
        <f t="shared" si="11"/>
        <v>45 Comercio al por mayor y al por menor y reparación de vehículos automotores y motocicletas</v>
      </c>
      <c r="K86" s="14" t="str">
        <f t="shared" si="15"/>
        <v>451</v>
      </c>
      <c r="L86" s="15" t="s">
        <v>136</v>
      </c>
      <c r="M86" s="18" t="s">
        <v>137</v>
      </c>
      <c r="N86" s="15" t="s">
        <v>136</v>
      </c>
      <c r="O86" s="16" t="str">
        <f t="shared" si="12"/>
        <v>4510 Venta de vehículos automotores</v>
      </c>
      <c r="P86" s="10">
        <v>2249083.84</v>
      </c>
    </row>
    <row r="87" spans="1:16" s="12" customFormat="1" ht="36" x14ac:dyDescent="0.25">
      <c r="B87" s="13" t="s">
        <v>134</v>
      </c>
      <c r="C87" s="19">
        <v>2024</v>
      </c>
      <c r="D87" s="38">
        <v>20100132592</v>
      </c>
      <c r="E87" s="14" t="s">
        <v>42</v>
      </c>
      <c r="F87" s="15" t="s">
        <v>43</v>
      </c>
      <c r="G87" s="16" t="str">
        <f t="shared" si="13"/>
        <v>G Comercio al por mayor y al por menor; reparación de vehículos automotores y motocicletas</v>
      </c>
      <c r="H87" s="14" t="str">
        <f t="shared" si="14"/>
        <v>45</v>
      </c>
      <c r="I87" s="17" t="s">
        <v>135</v>
      </c>
      <c r="J87" s="17" t="str">
        <f t="shared" si="11"/>
        <v>45 Comercio al por mayor y al por menor y reparación de vehículos automotores y motocicletas</v>
      </c>
      <c r="K87" s="14" t="str">
        <f t="shared" si="15"/>
        <v>451</v>
      </c>
      <c r="L87" s="15" t="s">
        <v>136</v>
      </c>
      <c r="M87" s="18" t="s">
        <v>137</v>
      </c>
      <c r="N87" s="15" t="s">
        <v>136</v>
      </c>
      <c r="O87" s="16" t="str">
        <f t="shared" si="12"/>
        <v>4510 Venta de vehículos automotores</v>
      </c>
      <c r="P87" s="10">
        <v>1427296.14</v>
      </c>
    </row>
    <row r="88" spans="1:16" s="23" customFormat="1" ht="36" x14ac:dyDescent="0.25">
      <c r="A88" s="12">
        <v>16</v>
      </c>
      <c r="B88" s="13" t="s">
        <v>134</v>
      </c>
      <c r="C88" s="19">
        <v>2025</v>
      </c>
      <c r="D88" s="38">
        <v>20100132592</v>
      </c>
      <c r="E88" s="14" t="s">
        <v>42</v>
      </c>
      <c r="F88" s="15" t="s">
        <v>43</v>
      </c>
      <c r="G88" s="16" t="str">
        <f t="shared" si="13"/>
        <v>G Comercio al por mayor y al por menor; reparación de vehículos automotores y motocicletas</v>
      </c>
      <c r="H88" s="14" t="str">
        <f t="shared" si="14"/>
        <v>45</v>
      </c>
      <c r="I88" s="17" t="s">
        <v>135</v>
      </c>
      <c r="J88" s="17" t="str">
        <f t="shared" si="11"/>
        <v>45 Comercio al por mayor y al por menor y reparación de vehículos automotores y motocicletas</v>
      </c>
      <c r="K88" s="14" t="str">
        <f t="shared" si="15"/>
        <v>451</v>
      </c>
      <c r="L88" s="15" t="s">
        <v>136</v>
      </c>
      <c r="M88" s="18" t="s">
        <v>137</v>
      </c>
      <c r="N88" s="15" t="s">
        <v>136</v>
      </c>
      <c r="O88" s="16" t="str">
        <f t="shared" si="12"/>
        <v>4510 Venta de vehículos automotores</v>
      </c>
      <c r="P88" s="10">
        <v>145137.68</v>
      </c>
    </row>
    <row r="89" spans="1:16" s="12" customFormat="1" x14ac:dyDescent="0.25">
      <c r="B89" s="13" t="s">
        <v>107</v>
      </c>
      <c r="C89" s="19">
        <v>2007</v>
      </c>
      <c r="D89" s="38">
        <v>20100136237</v>
      </c>
      <c r="E89" s="14" t="s">
        <v>108</v>
      </c>
      <c r="F89" s="15" t="s">
        <v>109</v>
      </c>
      <c r="G89" s="16" t="str">
        <f t="shared" si="13"/>
        <v>H Transporte y almacenamiento</v>
      </c>
      <c r="H89" s="14" t="str">
        <f t="shared" si="14"/>
        <v>52</v>
      </c>
      <c r="I89" s="17" t="s">
        <v>110</v>
      </c>
      <c r="J89" s="17" t="str">
        <f t="shared" si="11"/>
        <v xml:space="preserve">52 Almacenamiento y actividades de apoyo al transporte </v>
      </c>
      <c r="K89" s="14" t="str">
        <f t="shared" si="15"/>
        <v>521</v>
      </c>
      <c r="L89" s="15" t="s">
        <v>111</v>
      </c>
      <c r="M89" s="18" t="s">
        <v>112</v>
      </c>
      <c r="N89" s="15" t="s">
        <v>111</v>
      </c>
      <c r="O89" s="16" t="str">
        <f t="shared" si="12"/>
        <v>5210 Almacenamiento y depósito</v>
      </c>
      <c r="P89" s="10">
        <v>321173.45</v>
      </c>
    </row>
    <row r="90" spans="1:16" s="12" customFormat="1" x14ac:dyDescent="0.25">
      <c r="B90" s="13" t="s">
        <v>107</v>
      </c>
      <c r="C90" s="19">
        <v>2008</v>
      </c>
      <c r="D90" s="38">
        <v>20100136237</v>
      </c>
      <c r="E90" s="14" t="s">
        <v>108</v>
      </c>
      <c r="F90" s="15" t="s">
        <v>109</v>
      </c>
      <c r="G90" s="16" t="str">
        <f t="shared" si="13"/>
        <v>H Transporte y almacenamiento</v>
      </c>
      <c r="H90" s="14" t="str">
        <f t="shared" si="14"/>
        <v>52</v>
      </c>
      <c r="I90" s="17" t="s">
        <v>110</v>
      </c>
      <c r="J90" s="17" t="str">
        <f t="shared" si="11"/>
        <v xml:space="preserve">52 Almacenamiento y actividades de apoyo al transporte </v>
      </c>
      <c r="K90" s="14" t="str">
        <f t="shared" si="15"/>
        <v>521</v>
      </c>
      <c r="L90" s="15" t="s">
        <v>111</v>
      </c>
      <c r="M90" s="18" t="s">
        <v>112</v>
      </c>
      <c r="N90" s="15" t="s">
        <v>111</v>
      </c>
      <c r="O90" s="16" t="str">
        <f t="shared" si="12"/>
        <v>5210 Almacenamiento y depósito</v>
      </c>
      <c r="P90" s="10">
        <v>32294.92</v>
      </c>
    </row>
    <row r="91" spans="1:16" s="12" customFormat="1" ht="24" x14ac:dyDescent="0.25">
      <c r="A91" s="41"/>
      <c r="B91" s="49" t="s">
        <v>40</v>
      </c>
      <c r="C91" s="50">
        <v>2002</v>
      </c>
      <c r="D91" s="38">
        <v>20100136741</v>
      </c>
      <c r="E91" s="55" t="s">
        <v>48</v>
      </c>
      <c r="F91" s="42" t="s">
        <v>49</v>
      </c>
      <c r="G91" s="43" t="str">
        <f t="shared" si="13"/>
        <v>D Suministro de electricidad, gas, vapor y aire acondicionado</v>
      </c>
      <c r="H91" s="44" t="str">
        <f t="shared" si="14"/>
        <v>35</v>
      </c>
      <c r="I91" s="45" t="s">
        <v>49</v>
      </c>
      <c r="J91" s="45" t="str">
        <f t="shared" si="11"/>
        <v>35 Suministro de electricidad, gas, vapor y aire acondicionado</v>
      </c>
      <c r="K91" s="44" t="str">
        <f t="shared" si="15"/>
        <v>351</v>
      </c>
      <c r="L91" s="42" t="s">
        <v>50</v>
      </c>
      <c r="M91" s="46" t="s">
        <v>51</v>
      </c>
      <c r="N91" s="42" t="s">
        <v>50</v>
      </c>
      <c r="O91" s="43" t="str">
        <f t="shared" si="12"/>
        <v>3510 Generación, transmisión y distribución de energía eléctrica</v>
      </c>
      <c r="P91" s="51">
        <v>528268.34</v>
      </c>
    </row>
    <row r="92" spans="1:16" s="12" customFormat="1" ht="24" x14ac:dyDescent="0.25">
      <c r="B92" s="13" t="s">
        <v>40</v>
      </c>
      <c r="C92" s="19">
        <v>2000</v>
      </c>
      <c r="D92" s="38">
        <v>20100136741</v>
      </c>
      <c r="E92" s="14" t="s">
        <v>16</v>
      </c>
      <c r="F92" s="15" t="s">
        <v>17</v>
      </c>
      <c r="G92" s="16" t="str">
        <f t="shared" si="13"/>
        <v>B Explotación de minas y canteras</v>
      </c>
      <c r="H92" s="14" t="str">
        <f t="shared" si="14"/>
        <v>07</v>
      </c>
      <c r="I92" s="17" t="s">
        <v>18</v>
      </c>
      <c r="J92" s="17" t="str">
        <f t="shared" si="11"/>
        <v>07 Extracción de minerales metalíferos</v>
      </c>
      <c r="K92" s="14" t="str">
        <f t="shared" si="15"/>
        <v>072</v>
      </c>
      <c r="L92" s="15" t="s">
        <v>19</v>
      </c>
      <c r="M92" s="18" t="s">
        <v>20</v>
      </c>
      <c r="N92" s="15" t="s">
        <v>21</v>
      </c>
      <c r="O92" s="16" t="str">
        <f t="shared" si="12"/>
        <v>0729 Extracción de otros minerales metalíferos no ferrosos</v>
      </c>
      <c r="P92" s="10">
        <v>619651.18999999994</v>
      </c>
    </row>
    <row r="93" spans="1:16" s="12" customFormat="1" ht="24" x14ac:dyDescent="0.25">
      <c r="B93" s="13" t="s">
        <v>40</v>
      </c>
      <c r="C93" s="19">
        <v>2001</v>
      </c>
      <c r="D93" s="38">
        <v>20100136741</v>
      </c>
      <c r="E93" s="14" t="s">
        <v>16</v>
      </c>
      <c r="F93" s="15" t="s">
        <v>17</v>
      </c>
      <c r="G93" s="16" t="str">
        <f t="shared" si="13"/>
        <v>B Explotación de minas y canteras</v>
      </c>
      <c r="H93" s="14" t="str">
        <f t="shared" si="14"/>
        <v>07</v>
      </c>
      <c r="I93" s="17" t="s">
        <v>18</v>
      </c>
      <c r="J93" s="17" t="str">
        <f t="shared" si="11"/>
        <v>07 Extracción de minerales metalíferos</v>
      </c>
      <c r="K93" s="14" t="str">
        <f t="shared" si="15"/>
        <v>072</v>
      </c>
      <c r="L93" s="15" t="s">
        <v>19</v>
      </c>
      <c r="M93" s="18" t="s">
        <v>20</v>
      </c>
      <c r="N93" s="15" t="s">
        <v>21</v>
      </c>
      <c r="O93" s="16" t="str">
        <f t="shared" si="12"/>
        <v>0729 Extracción de otros minerales metalíferos no ferrosos</v>
      </c>
      <c r="P93" s="10">
        <v>2725916.69</v>
      </c>
    </row>
    <row r="94" spans="1:16" s="12" customFormat="1" ht="24" x14ac:dyDescent="0.25">
      <c r="A94" s="23"/>
      <c r="B94" s="21" t="s">
        <v>40</v>
      </c>
      <c r="C94" s="24">
        <v>2001</v>
      </c>
      <c r="D94" s="39">
        <v>20100136741</v>
      </c>
      <c r="E94" s="25" t="s">
        <v>16</v>
      </c>
      <c r="F94" s="26" t="s">
        <v>17</v>
      </c>
      <c r="G94" s="27" t="str">
        <f t="shared" si="13"/>
        <v>B Explotación de minas y canteras</v>
      </c>
      <c r="H94" s="25" t="str">
        <f t="shared" si="14"/>
        <v>07</v>
      </c>
      <c r="I94" s="28" t="s">
        <v>18</v>
      </c>
      <c r="J94" s="28" t="str">
        <f t="shared" si="11"/>
        <v>07 Extracción de minerales metalíferos</v>
      </c>
      <c r="K94" s="25" t="str">
        <f t="shared" si="15"/>
        <v>072</v>
      </c>
      <c r="L94" s="26" t="s">
        <v>19</v>
      </c>
      <c r="M94" s="29" t="s">
        <v>20</v>
      </c>
      <c r="N94" s="26" t="s">
        <v>21</v>
      </c>
      <c r="O94" s="27" t="str">
        <f t="shared" si="12"/>
        <v>0729 Extracción de otros minerales metalíferos no ferrosos</v>
      </c>
      <c r="P94" s="30">
        <v>12701.12</v>
      </c>
    </row>
    <row r="95" spans="1:16" s="12" customFormat="1" ht="24" x14ac:dyDescent="0.25">
      <c r="B95" s="13" t="s">
        <v>40</v>
      </c>
      <c r="C95" s="19">
        <v>2003</v>
      </c>
      <c r="D95" s="38">
        <v>20100136741</v>
      </c>
      <c r="E95" s="14" t="s">
        <v>16</v>
      </c>
      <c r="F95" s="15" t="s">
        <v>17</v>
      </c>
      <c r="G95" s="16" t="str">
        <f t="shared" si="13"/>
        <v>B Explotación de minas y canteras</v>
      </c>
      <c r="H95" s="14" t="str">
        <f t="shared" si="14"/>
        <v>07</v>
      </c>
      <c r="I95" s="17" t="s">
        <v>18</v>
      </c>
      <c r="J95" s="17" t="str">
        <f t="shared" si="11"/>
        <v>07 Extracción de minerales metalíferos</v>
      </c>
      <c r="K95" s="14" t="str">
        <f t="shared" si="15"/>
        <v>072</v>
      </c>
      <c r="L95" s="15" t="s">
        <v>19</v>
      </c>
      <c r="M95" s="18" t="s">
        <v>20</v>
      </c>
      <c r="N95" s="15" t="s">
        <v>21</v>
      </c>
      <c r="O95" s="16" t="str">
        <f t="shared" si="12"/>
        <v>0729 Extracción de otros minerales metalíferos no ferrosos</v>
      </c>
      <c r="P95" s="10">
        <v>27957341.120000001</v>
      </c>
    </row>
    <row r="96" spans="1:16" s="12" customFormat="1" ht="24" x14ac:dyDescent="0.25">
      <c r="B96" s="13" t="s">
        <v>40</v>
      </c>
      <c r="C96" s="19">
        <v>2004</v>
      </c>
      <c r="D96" s="38">
        <v>20100136741</v>
      </c>
      <c r="E96" s="14" t="s">
        <v>16</v>
      </c>
      <c r="F96" s="15" t="s">
        <v>17</v>
      </c>
      <c r="G96" s="16" t="str">
        <f t="shared" si="13"/>
        <v>B Explotación de minas y canteras</v>
      </c>
      <c r="H96" s="14" t="s">
        <v>56</v>
      </c>
      <c r="I96" s="17" t="s">
        <v>18</v>
      </c>
      <c r="J96" s="17" t="str">
        <f t="shared" si="11"/>
        <v>O Extracción de minerales metalíferos</v>
      </c>
      <c r="K96" s="14" t="str">
        <f t="shared" si="15"/>
        <v>072</v>
      </c>
      <c r="L96" s="15" t="s">
        <v>19</v>
      </c>
      <c r="M96" s="18" t="s">
        <v>20</v>
      </c>
      <c r="N96" s="15" t="s">
        <v>21</v>
      </c>
      <c r="O96" s="16" t="str">
        <f t="shared" si="12"/>
        <v>0729 Extracción de otros minerales metalíferos no ferrosos</v>
      </c>
      <c r="P96" s="10">
        <v>537948.11</v>
      </c>
    </row>
    <row r="97" spans="1:16" s="12" customFormat="1" ht="24" x14ac:dyDescent="0.25">
      <c r="B97" s="13" t="s">
        <v>40</v>
      </c>
      <c r="C97" s="19">
        <v>2005</v>
      </c>
      <c r="D97" s="38">
        <v>20100136741</v>
      </c>
      <c r="E97" s="14" t="s">
        <v>16</v>
      </c>
      <c r="F97" s="15" t="s">
        <v>17</v>
      </c>
      <c r="G97" s="16" t="str">
        <f t="shared" si="13"/>
        <v>B Explotación de minas y canteras</v>
      </c>
      <c r="H97" s="14" t="str">
        <f t="shared" ref="H97:H128" si="16">LEFT(K97,2)</f>
        <v>07</v>
      </c>
      <c r="I97" s="17" t="s">
        <v>18</v>
      </c>
      <c r="J97" s="17" t="str">
        <f t="shared" si="11"/>
        <v>07 Extracción de minerales metalíferos</v>
      </c>
      <c r="K97" s="14" t="str">
        <f t="shared" si="15"/>
        <v>072</v>
      </c>
      <c r="L97" s="15" t="s">
        <v>19</v>
      </c>
      <c r="M97" s="18" t="s">
        <v>20</v>
      </c>
      <c r="N97" s="15" t="s">
        <v>21</v>
      </c>
      <c r="O97" s="16" t="str">
        <f t="shared" si="12"/>
        <v>0729 Extracción de otros minerales metalíferos no ferrosos</v>
      </c>
      <c r="P97" s="10">
        <v>34453489.479999997</v>
      </c>
    </row>
    <row r="98" spans="1:16" s="12" customFormat="1" ht="24" x14ac:dyDescent="0.25">
      <c r="B98" s="13" t="s">
        <v>40</v>
      </c>
      <c r="C98" s="19">
        <v>2006</v>
      </c>
      <c r="D98" s="38">
        <v>20100136741</v>
      </c>
      <c r="E98" s="14" t="s">
        <v>16</v>
      </c>
      <c r="F98" s="15" t="s">
        <v>17</v>
      </c>
      <c r="G98" s="16" t="str">
        <f t="shared" si="13"/>
        <v>B Explotación de minas y canteras</v>
      </c>
      <c r="H98" s="14" t="str">
        <f t="shared" si="16"/>
        <v>07</v>
      </c>
      <c r="I98" s="17" t="s">
        <v>18</v>
      </c>
      <c r="J98" s="17" t="str">
        <f t="shared" si="11"/>
        <v>07 Extracción de minerales metalíferos</v>
      </c>
      <c r="K98" s="14" t="str">
        <f t="shared" si="15"/>
        <v>072</v>
      </c>
      <c r="L98" s="15" t="s">
        <v>19</v>
      </c>
      <c r="M98" s="18" t="s">
        <v>20</v>
      </c>
      <c r="N98" s="15" t="s">
        <v>21</v>
      </c>
      <c r="O98" s="16" t="str">
        <f t="shared" si="12"/>
        <v>0729 Extracción de otros minerales metalíferos no ferrosos</v>
      </c>
      <c r="P98" s="10">
        <v>8389066.5500000007</v>
      </c>
    </row>
    <row r="99" spans="1:16" s="12" customFormat="1" ht="24" x14ac:dyDescent="0.25">
      <c r="B99" s="13" t="s">
        <v>40</v>
      </c>
      <c r="C99" s="19">
        <v>2007</v>
      </c>
      <c r="D99" s="38">
        <v>20100136741</v>
      </c>
      <c r="E99" s="14" t="s">
        <v>16</v>
      </c>
      <c r="F99" s="15" t="s">
        <v>17</v>
      </c>
      <c r="G99" s="16" t="str">
        <f t="shared" si="13"/>
        <v>B Explotación de minas y canteras</v>
      </c>
      <c r="H99" s="14" t="str">
        <f t="shared" si="16"/>
        <v>07</v>
      </c>
      <c r="I99" s="17" t="s">
        <v>18</v>
      </c>
      <c r="J99" s="17" t="str">
        <f t="shared" si="11"/>
        <v>07 Extracción de minerales metalíferos</v>
      </c>
      <c r="K99" s="14" t="str">
        <f t="shared" si="15"/>
        <v>072</v>
      </c>
      <c r="L99" s="15" t="s">
        <v>19</v>
      </c>
      <c r="M99" s="18" t="s">
        <v>20</v>
      </c>
      <c r="N99" s="15" t="s">
        <v>21</v>
      </c>
      <c r="O99" s="16" t="str">
        <f t="shared" si="12"/>
        <v>0729 Extracción de otros minerales metalíferos no ferrosos</v>
      </c>
      <c r="P99" s="10">
        <v>8409571.6300000008</v>
      </c>
    </row>
    <row r="100" spans="1:16" s="12" customFormat="1" ht="24" x14ac:dyDescent="0.25">
      <c r="B100" s="13" t="s">
        <v>40</v>
      </c>
      <c r="C100" s="19">
        <v>2008</v>
      </c>
      <c r="D100" s="38">
        <v>20100136741</v>
      </c>
      <c r="E100" s="14" t="s">
        <v>16</v>
      </c>
      <c r="F100" s="15" t="s">
        <v>17</v>
      </c>
      <c r="G100" s="16" t="str">
        <f t="shared" si="13"/>
        <v>B Explotación de minas y canteras</v>
      </c>
      <c r="H100" s="14" t="str">
        <f t="shared" si="16"/>
        <v>07</v>
      </c>
      <c r="I100" s="17" t="s">
        <v>18</v>
      </c>
      <c r="J100" s="17" t="str">
        <f t="shared" si="11"/>
        <v>07 Extracción de minerales metalíferos</v>
      </c>
      <c r="K100" s="14" t="str">
        <f t="shared" si="15"/>
        <v>072</v>
      </c>
      <c r="L100" s="15" t="s">
        <v>19</v>
      </c>
      <c r="M100" s="18" t="s">
        <v>20</v>
      </c>
      <c r="N100" s="15" t="s">
        <v>21</v>
      </c>
      <c r="O100" s="16" t="str">
        <f t="shared" si="12"/>
        <v>0729 Extracción de otros minerales metalíferos no ferrosos</v>
      </c>
      <c r="P100" s="10">
        <v>13784786.210000001</v>
      </c>
    </row>
    <row r="101" spans="1:16" s="12" customFormat="1" ht="24" x14ac:dyDescent="0.25">
      <c r="B101" s="13" t="s">
        <v>40</v>
      </c>
      <c r="C101" s="19">
        <v>2009</v>
      </c>
      <c r="D101" s="38">
        <v>20100136741</v>
      </c>
      <c r="E101" s="14" t="s">
        <v>16</v>
      </c>
      <c r="F101" s="15" t="s">
        <v>17</v>
      </c>
      <c r="G101" s="16" t="str">
        <f t="shared" si="13"/>
        <v>B Explotación de minas y canteras</v>
      </c>
      <c r="H101" s="14" t="str">
        <f t="shared" si="16"/>
        <v>07</v>
      </c>
      <c r="I101" s="17" t="s">
        <v>18</v>
      </c>
      <c r="J101" s="17" t="str">
        <f t="shared" si="11"/>
        <v>07 Extracción de minerales metalíferos</v>
      </c>
      <c r="K101" s="14" t="str">
        <f t="shared" si="15"/>
        <v>072</v>
      </c>
      <c r="L101" s="15" t="s">
        <v>19</v>
      </c>
      <c r="M101" s="18" t="s">
        <v>20</v>
      </c>
      <c r="N101" s="15" t="s">
        <v>21</v>
      </c>
      <c r="O101" s="16" t="str">
        <f t="shared" si="12"/>
        <v>0729 Extracción de otros minerales metalíferos no ferrosos</v>
      </c>
      <c r="P101" s="10">
        <v>14213758.25</v>
      </c>
    </row>
    <row r="102" spans="1:16" s="12" customFormat="1" ht="24" x14ac:dyDescent="0.25">
      <c r="B102" s="13" t="s">
        <v>40</v>
      </c>
      <c r="C102" s="19">
        <v>2010</v>
      </c>
      <c r="D102" s="38">
        <v>20100136741</v>
      </c>
      <c r="E102" s="14" t="s">
        <v>16</v>
      </c>
      <c r="F102" s="15" t="s">
        <v>17</v>
      </c>
      <c r="G102" s="16" t="str">
        <f t="shared" si="13"/>
        <v>B Explotación de minas y canteras</v>
      </c>
      <c r="H102" s="14" t="str">
        <f t="shared" si="16"/>
        <v>07</v>
      </c>
      <c r="I102" s="17" t="s">
        <v>18</v>
      </c>
      <c r="J102" s="17" t="str">
        <f t="shared" si="11"/>
        <v>07 Extracción de minerales metalíferos</v>
      </c>
      <c r="K102" s="14" t="str">
        <f t="shared" si="15"/>
        <v>072</v>
      </c>
      <c r="L102" s="15" t="s">
        <v>19</v>
      </c>
      <c r="M102" s="18" t="s">
        <v>20</v>
      </c>
      <c r="N102" s="15" t="s">
        <v>21</v>
      </c>
      <c r="O102" s="16" t="str">
        <f t="shared" si="12"/>
        <v>0729 Extracción de otros minerales metalíferos no ferrosos</v>
      </c>
      <c r="P102" s="10">
        <v>10594672.09</v>
      </c>
    </row>
    <row r="103" spans="1:16" s="12" customFormat="1" ht="24" x14ac:dyDescent="0.25">
      <c r="B103" s="13" t="s">
        <v>40</v>
      </c>
      <c r="C103" s="19">
        <v>2011</v>
      </c>
      <c r="D103" s="38">
        <v>20100136741</v>
      </c>
      <c r="E103" s="14" t="s">
        <v>16</v>
      </c>
      <c r="F103" s="15" t="s">
        <v>17</v>
      </c>
      <c r="G103" s="16" t="str">
        <f t="shared" si="13"/>
        <v>B Explotación de minas y canteras</v>
      </c>
      <c r="H103" s="14" t="str">
        <f t="shared" si="16"/>
        <v>07</v>
      </c>
      <c r="I103" s="17" t="s">
        <v>18</v>
      </c>
      <c r="J103" s="17" t="str">
        <f t="shared" si="11"/>
        <v>07 Extracción de minerales metalíferos</v>
      </c>
      <c r="K103" s="14" t="str">
        <f t="shared" si="15"/>
        <v>072</v>
      </c>
      <c r="L103" s="15" t="s">
        <v>19</v>
      </c>
      <c r="M103" s="18" t="s">
        <v>20</v>
      </c>
      <c r="N103" s="15" t="s">
        <v>21</v>
      </c>
      <c r="O103" s="16" t="str">
        <f t="shared" si="12"/>
        <v>0729 Extracción de otros minerales metalíferos no ferrosos</v>
      </c>
      <c r="P103" s="10">
        <v>15805613.68</v>
      </c>
    </row>
    <row r="104" spans="1:16" s="12" customFormat="1" ht="24" x14ac:dyDescent="0.25">
      <c r="B104" s="13" t="s">
        <v>40</v>
      </c>
      <c r="C104" s="19">
        <v>2012</v>
      </c>
      <c r="D104" s="38">
        <v>20100136741</v>
      </c>
      <c r="E104" s="14" t="s">
        <v>16</v>
      </c>
      <c r="F104" s="15" t="s">
        <v>17</v>
      </c>
      <c r="G104" s="16" t="str">
        <f t="shared" si="13"/>
        <v>B Explotación de minas y canteras</v>
      </c>
      <c r="H104" s="14" t="str">
        <f t="shared" si="16"/>
        <v>07</v>
      </c>
      <c r="I104" s="17" t="s">
        <v>18</v>
      </c>
      <c r="J104" s="17" t="str">
        <f t="shared" si="11"/>
        <v>07 Extracción de minerales metalíferos</v>
      </c>
      <c r="K104" s="14" t="str">
        <f t="shared" si="15"/>
        <v>072</v>
      </c>
      <c r="L104" s="15" t="s">
        <v>19</v>
      </c>
      <c r="M104" s="18" t="s">
        <v>20</v>
      </c>
      <c r="N104" s="15" t="s">
        <v>21</v>
      </c>
      <c r="O104" s="16" t="str">
        <f t="shared" si="12"/>
        <v>0729 Extracción de otros minerales metalíferos no ferrosos</v>
      </c>
      <c r="P104" s="10">
        <v>15331368.469999999</v>
      </c>
    </row>
    <row r="105" spans="1:16" s="12" customFormat="1" ht="24" x14ac:dyDescent="0.25">
      <c r="B105" s="13" t="s">
        <v>40</v>
      </c>
      <c r="C105" s="19">
        <v>2013</v>
      </c>
      <c r="D105" s="38">
        <v>20100136741</v>
      </c>
      <c r="E105" s="14" t="s">
        <v>16</v>
      </c>
      <c r="F105" s="15" t="s">
        <v>17</v>
      </c>
      <c r="G105" s="16" t="str">
        <f t="shared" si="13"/>
        <v>B Explotación de minas y canteras</v>
      </c>
      <c r="H105" s="14" t="str">
        <f t="shared" si="16"/>
        <v>07</v>
      </c>
      <c r="I105" s="17" t="s">
        <v>18</v>
      </c>
      <c r="J105" s="17" t="str">
        <f t="shared" si="11"/>
        <v>07 Extracción de minerales metalíferos</v>
      </c>
      <c r="K105" s="14" t="str">
        <f t="shared" si="15"/>
        <v>072</v>
      </c>
      <c r="L105" s="15" t="s">
        <v>19</v>
      </c>
      <c r="M105" s="18" t="s">
        <v>20</v>
      </c>
      <c r="N105" s="15" t="s">
        <v>21</v>
      </c>
      <c r="O105" s="16" t="str">
        <f t="shared" si="12"/>
        <v>0729 Extracción de otros minerales metalíferos no ferrosos</v>
      </c>
      <c r="P105" s="10">
        <v>3395929.6</v>
      </c>
    </row>
    <row r="106" spans="1:16" s="12" customFormat="1" ht="24" x14ac:dyDescent="0.25">
      <c r="B106" s="13" t="s">
        <v>40</v>
      </c>
      <c r="C106" s="19">
        <v>2014</v>
      </c>
      <c r="D106" s="38">
        <v>20100136741</v>
      </c>
      <c r="E106" s="14" t="s">
        <v>16</v>
      </c>
      <c r="F106" s="15" t="s">
        <v>17</v>
      </c>
      <c r="G106" s="16" t="str">
        <f t="shared" si="13"/>
        <v>B Explotación de minas y canteras</v>
      </c>
      <c r="H106" s="14" t="str">
        <f t="shared" si="16"/>
        <v>07</v>
      </c>
      <c r="I106" s="17" t="s">
        <v>18</v>
      </c>
      <c r="J106" s="17" t="str">
        <f t="shared" si="11"/>
        <v>07 Extracción de minerales metalíferos</v>
      </c>
      <c r="K106" s="14" t="str">
        <f t="shared" si="15"/>
        <v>072</v>
      </c>
      <c r="L106" s="15" t="s">
        <v>19</v>
      </c>
      <c r="M106" s="18" t="s">
        <v>20</v>
      </c>
      <c r="N106" s="15" t="s">
        <v>21</v>
      </c>
      <c r="O106" s="16" t="str">
        <f t="shared" si="12"/>
        <v>0729 Extracción de otros minerales metalíferos no ferrosos</v>
      </c>
      <c r="P106" s="10">
        <v>1439398.54</v>
      </c>
    </row>
    <row r="107" spans="1:16" s="12" customFormat="1" ht="24" x14ac:dyDescent="0.25">
      <c r="B107" s="13" t="s">
        <v>40</v>
      </c>
      <c r="C107" s="19">
        <v>2022</v>
      </c>
      <c r="D107" s="38">
        <v>20100136741</v>
      </c>
      <c r="E107" s="14" t="s">
        <v>16</v>
      </c>
      <c r="F107" s="15" t="s">
        <v>17</v>
      </c>
      <c r="G107" s="16" t="str">
        <f t="shared" si="13"/>
        <v>B Explotación de minas y canteras</v>
      </c>
      <c r="H107" s="14" t="str">
        <f t="shared" si="16"/>
        <v>07</v>
      </c>
      <c r="I107" s="17" t="s">
        <v>18</v>
      </c>
      <c r="J107" s="17" t="str">
        <f t="shared" si="11"/>
        <v>07 Extracción de minerales metalíferos</v>
      </c>
      <c r="K107" s="14" t="str">
        <f t="shared" si="15"/>
        <v>072</v>
      </c>
      <c r="L107" s="15" t="s">
        <v>19</v>
      </c>
      <c r="M107" s="18" t="s">
        <v>20</v>
      </c>
      <c r="N107" s="15" t="s">
        <v>21</v>
      </c>
      <c r="O107" s="16" t="str">
        <f t="shared" si="12"/>
        <v>0729 Extracción de otros minerales metalíferos no ferrosos</v>
      </c>
      <c r="P107" s="10">
        <v>1444020.35</v>
      </c>
    </row>
    <row r="108" spans="1:16" s="12" customFormat="1" ht="24" x14ac:dyDescent="0.25">
      <c r="A108" s="12">
        <v>33</v>
      </c>
      <c r="B108" s="13" t="s">
        <v>40</v>
      </c>
      <c r="C108" s="19">
        <v>2025</v>
      </c>
      <c r="D108" s="38">
        <v>20100136741</v>
      </c>
      <c r="E108" s="14" t="s">
        <v>16</v>
      </c>
      <c r="F108" s="15" t="s">
        <v>17</v>
      </c>
      <c r="G108" s="16" t="str">
        <f t="shared" si="13"/>
        <v>B Explotación de minas y canteras</v>
      </c>
      <c r="H108" s="14" t="str">
        <f t="shared" si="16"/>
        <v>07</v>
      </c>
      <c r="I108" s="17" t="s">
        <v>18</v>
      </c>
      <c r="J108" s="17" t="str">
        <f t="shared" si="11"/>
        <v>07 Extracción de minerales metalíferos</v>
      </c>
      <c r="K108" s="14" t="str">
        <f t="shared" si="15"/>
        <v>072</v>
      </c>
      <c r="L108" s="15" t="s">
        <v>19</v>
      </c>
      <c r="M108" s="18" t="s">
        <v>20</v>
      </c>
      <c r="N108" s="15" t="s">
        <v>21</v>
      </c>
      <c r="O108" s="16" t="str">
        <f t="shared" si="12"/>
        <v>0729 Extracción de otros minerales metalíferos no ferrosos</v>
      </c>
      <c r="P108" s="10">
        <v>3938.59</v>
      </c>
    </row>
    <row r="109" spans="1:16" s="12" customFormat="1" ht="24" x14ac:dyDescent="0.25">
      <c r="B109" s="13" t="s">
        <v>403</v>
      </c>
      <c r="C109" s="19">
        <v>2000</v>
      </c>
      <c r="D109" s="38">
        <v>20100137390</v>
      </c>
      <c r="E109" s="14" t="s">
        <v>23</v>
      </c>
      <c r="F109" s="15" t="s">
        <v>24</v>
      </c>
      <c r="G109" s="16" t="str">
        <f t="shared" si="13"/>
        <v>C Industria manufacturera</v>
      </c>
      <c r="H109" s="14" t="str">
        <f t="shared" si="16"/>
        <v>23</v>
      </c>
      <c r="I109" s="17" t="s">
        <v>35</v>
      </c>
      <c r="J109" s="17" t="str">
        <f t="shared" si="11"/>
        <v>23 Fabricación de otros productos metálicos</v>
      </c>
      <c r="K109" s="14" t="str">
        <f t="shared" si="15"/>
        <v>239</v>
      </c>
      <c r="L109" s="15" t="s">
        <v>36</v>
      </c>
      <c r="M109" s="18" t="s">
        <v>37</v>
      </c>
      <c r="N109" s="15" t="s">
        <v>38</v>
      </c>
      <c r="O109" s="16" t="str">
        <f t="shared" si="12"/>
        <v>2394 Fabricación de Cemento, Cal y Yeso</v>
      </c>
      <c r="P109" s="10">
        <v>2380</v>
      </c>
    </row>
    <row r="110" spans="1:16" s="12" customFormat="1" ht="24" x14ac:dyDescent="0.25">
      <c r="B110" s="13" t="s">
        <v>403</v>
      </c>
      <c r="C110" s="19">
        <v>2001</v>
      </c>
      <c r="D110" s="38">
        <v>20100137390</v>
      </c>
      <c r="E110" s="14" t="s">
        <v>23</v>
      </c>
      <c r="F110" s="15" t="s">
        <v>24</v>
      </c>
      <c r="G110" s="16" t="str">
        <f t="shared" si="13"/>
        <v>C Industria manufacturera</v>
      </c>
      <c r="H110" s="14" t="str">
        <f t="shared" si="16"/>
        <v>23</v>
      </c>
      <c r="I110" s="17" t="s">
        <v>35</v>
      </c>
      <c r="J110" s="17" t="str">
        <f t="shared" si="11"/>
        <v>23 Fabricación de otros productos metálicos</v>
      </c>
      <c r="K110" s="14" t="str">
        <f t="shared" si="15"/>
        <v>239</v>
      </c>
      <c r="L110" s="15" t="s">
        <v>36</v>
      </c>
      <c r="M110" s="18" t="s">
        <v>37</v>
      </c>
      <c r="N110" s="15" t="s">
        <v>38</v>
      </c>
      <c r="O110" s="16" t="str">
        <f t="shared" si="12"/>
        <v>2394 Fabricación de Cemento, Cal y Yeso</v>
      </c>
      <c r="P110" s="10">
        <v>4669.7299999999996</v>
      </c>
    </row>
    <row r="111" spans="1:16" s="12" customFormat="1" ht="24" x14ac:dyDescent="0.25">
      <c r="B111" s="13" t="s">
        <v>403</v>
      </c>
      <c r="C111" s="19">
        <v>2003</v>
      </c>
      <c r="D111" s="38">
        <v>20100137390</v>
      </c>
      <c r="E111" s="14" t="s">
        <v>23</v>
      </c>
      <c r="F111" s="15" t="s">
        <v>24</v>
      </c>
      <c r="G111" s="16" t="str">
        <f t="shared" si="13"/>
        <v>C Industria manufacturera</v>
      </c>
      <c r="H111" s="14" t="str">
        <f t="shared" si="16"/>
        <v>23</v>
      </c>
      <c r="I111" s="17" t="s">
        <v>35</v>
      </c>
      <c r="J111" s="17" t="str">
        <f t="shared" si="11"/>
        <v>23 Fabricación de otros productos metálicos</v>
      </c>
      <c r="K111" s="14" t="str">
        <f t="shared" si="15"/>
        <v>239</v>
      </c>
      <c r="L111" s="15" t="s">
        <v>36</v>
      </c>
      <c r="M111" s="18" t="s">
        <v>37</v>
      </c>
      <c r="N111" s="15" t="s">
        <v>38</v>
      </c>
      <c r="O111" s="16" t="str">
        <f t="shared" si="12"/>
        <v>2394 Fabricación de Cemento, Cal y Yeso</v>
      </c>
      <c r="P111" s="10">
        <v>5960.69</v>
      </c>
    </row>
    <row r="112" spans="1:16" s="12" customFormat="1" ht="24" x14ac:dyDescent="0.25">
      <c r="B112" s="13" t="s">
        <v>403</v>
      </c>
      <c r="C112" s="19">
        <v>2005</v>
      </c>
      <c r="D112" s="38">
        <v>20100137390</v>
      </c>
      <c r="E112" s="14" t="s">
        <v>23</v>
      </c>
      <c r="F112" s="15" t="s">
        <v>24</v>
      </c>
      <c r="G112" s="16" t="str">
        <f t="shared" si="13"/>
        <v>C Industria manufacturera</v>
      </c>
      <c r="H112" s="14" t="str">
        <f t="shared" si="16"/>
        <v>23</v>
      </c>
      <c r="I112" s="17" t="s">
        <v>35</v>
      </c>
      <c r="J112" s="17" t="str">
        <f t="shared" si="11"/>
        <v>23 Fabricación de otros productos metálicos</v>
      </c>
      <c r="K112" s="14" t="str">
        <f t="shared" ref="K112:K143" si="17">LEFT(M112,3)</f>
        <v>239</v>
      </c>
      <c r="L112" s="15" t="s">
        <v>36</v>
      </c>
      <c r="M112" s="18" t="s">
        <v>37</v>
      </c>
      <c r="N112" s="15" t="s">
        <v>38</v>
      </c>
      <c r="O112" s="16" t="str">
        <f t="shared" si="12"/>
        <v>2394 Fabricación de Cemento, Cal y Yeso</v>
      </c>
      <c r="P112" s="10">
        <v>7073</v>
      </c>
    </row>
    <row r="113" spans="2:16" s="12" customFormat="1" ht="24" x14ac:dyDescent="0.25">
      <c r="B113" s="13" t="s">
        <v>403</v>
      </c>
      <c r="C113" s="19">
        <v>2006</v>
      </c>
      <c r="D113" s="38">
        <v>20100137390</v>
      </c>
      <c r="E113" s="14" t="s">
        <v>23</v>
      </c>
      <c r="F113" s="15" t="s">
        <v>24</v>
      </c>
      <c r="G113" s="16" t="str">
        <f t="shared" si="13"/>
        <v>C Industria manufacturera</v>
      </c>
      <c r="H113" s="14" t="str">
        <f t="shared" si="16"/>
        <v>23</v>
      </c>
      <c r="I113" s="17" t="s">
        <v>35</v>
      </c>
      <c r="J113" s="17" t="str">
        <f t="shared" si="11"/>
        <v>23 Fabricación de otros productos metálicos</v>
      </c>
      <c r="K113" s="14" t="str">
        <f t="shared" si="17"/>
        <v>239</v>
      </c>
      <c r="L113" s="15" t="s">
        <v>36</v>
      </c>
      <c r="M113" s="18" t="s">
        <v>37</v>
      </c>
      <c r="N113" s="15" t="s">
        <v>38</v>
      </c>
      <c r="O113" s="16" t="str">
        <f t="shared" si="12"/>
        <v>2394 Fabricación de Cemento, Cal y Yeso</v>
      </c>
      <c r="P113" s="10">
        <v>2871.49</v>
      </c>
    </row>
    <row r="114" spans="2:16" s="12" customFormat="1" ht="24" x14ac:dyDescent="0.25">
      <c r="B114" s="13" t="s">
        <v>403</v>
      </c>
      <c r="C114" s="19">
        <v>2007</v>
      </c>
      <c r="D114" s="38">
        <v>20100137390</v>
      </c>
      <c r="E114" s="14" t="s">
        <v>23</v>
      </c>
      <c r="F114" s="15" t="s">
        <v>24</v>
      </c>
      <c r="G114" s="16" t="str">
        <f t="shared" si="13"/>
        <v>C Industria manufacturera</v>
      </c>
      <c r="H114" s="14" t="str">
        <f t="shared" si="16"/>
        <v>23</v>
      </c>
      <c r="I114" s="17" t="s">
        <v>35</v>
      </c>
      <c r="J114" s="17" t="str">
        <f t="shared" si="11"/>
        <v>23 Fabricación de otros productos metálicos</v>
      </c>
      <c r="K114" s="14" t="str">
        <f t="shared" si="17"/>
        <v>239</v>
      </c>
      <c r="L114" s="15" t="s">
        <v>36</v>
      </c>
      <c r="M114" s="18" t="s">
        <v>37</v>
      </c>
      <c r="N114" s="15" t="s">
        <v>38</v>
      </c>
      <c r="O114" s="16" t="str">
        <f t="shared" si="12"/>
        <v>2394 Fabricación de Cemento, Cal y Yeso</v>
      </c>
      <c r="P114" s="10">
        <v>54204.37</v>
      </c>
    </row>
    <row r="115" spans="2:16" s="12" customFormat="1" ht="24" x14ac:dyDescent="0.25">
      <c r="B115" s="13" t="s">
        <v>403</v>
      </c>
      <c r="C115" s="19">
        <v>2008</v>
      </c>
      <c r="D115" s="38">
        <v>20100137390</v>
      </c>
      <c r="E115" s="14" t="s">
        <v>23</v>
      </c>
      <c r="F115" s="15" t="s">
        <v>24</v>
      </c>
      <c r="G115" s="16" t="str">
        <f t="shared" si="13"/>
        <v>C Industria manufacturera</v>
      </c>
      <c r="H115" s="14" t="str">
        <f t="shared" si="16"/>
        <v>23</v>
      </c>
      <c r="I115" s="17" t="s">
        <v>35</v>
      </c>
      <c r="J115" s="17" t="str">
        <f t="shared" si="11"/>
        <v>23 Fabricación de otros productos metálicos</v>
      </c>
      <c r="K115" s="14" t="str">
        <f t="shared" si="17"/>
        <v>239</v>
      </c>
      <c r="L115" s="15" t="s">
        <v>36</v>
      </c>
      <c r="M115" s="18" t="s">
        <v>37</v>
      </c>
      <c r="N115" s="15" t="s">
        <v>38</v>
      </c>
      <c r="O115" s="16" t="str">
        <f t="shared" si="12"/>
        <v>2394 Fabricación de Cemento, Cal y Yeso</v>
      </c>
      <c r="P115" s="10">
        <v>591864.84</v>
      </c>
    </row>
    <row r="116" spans="2:16" s="12" customFormat="1" ht="24" x14ac:dyDescent="0.25">
      <c r="B116" s="13" t="s">
        <v>403</v>
      </c>
      <c r="C116" s="19">
        <v>2009</v>
      </c>
      <c r="D116" s="38">
        <v>20100137390</v>
      </c>
      <c r="E116" s="14" t="s">
        <v>23</v>
      </c>
      <c r="F116" s="15" t="s">
        <v>24</v>
      </c>
      <c r="G116" s="16" t="str">
        <f t="shared" si="13"/>
        <v>C Industria manufacturera</v>
      </c>
      <c r="H116" s="14" t="str">
        <f t="shared" si="16"/>
        <v>23</v>
      </c>
      <c r="I116" s="17" t="s">
        <v>35</v>
      </c>
      <c r="J116" s="17" t="str">
        <f t="shared" si="11"/>
        <v>23 Fabricación de otros productos metálicos</v>
      </c>
      <c r="K116" s="14" t="str">
        <f t="shared" si="17"/>
        <v>239</v>
      </c>
      <c r="L116" s="15" t="s">
        <v>36</v>
      </c>
      <c r="M116" s="18" t="s">
        <v>37</v>
      </c>
      <c r="N116" s="15" t="s">
        <v>38</v>
      </c>
      <c r="O116" s="16" t="str">
        <f t="shared" si="12"/>
        <v>2394 Fabricación de Cemento, Cal y Yeso</v>
      </c>
      <c r="P116" s="10">
        <v>351957.75</v>
      </c>
    </row>
    <row r="117" spans="2:16" s="12" customFormat="1" ht="24" x14ac:dyDescent="0.25">
      <c r="B117" s="13" t="s">
        <v>403</v>
      </c>
      <c r="C117" s="19">
        <v>2010</v>
      </c>
      <c r="D117" s="38">
        <v>20100137390</v>
      </c>
      <c r="E117" s="14" t="s">
        <v>23</v>
      </c>
      <c r="F117" s="15" t="s">
        <v>24</v>
      </c>
      <c r="G117" s="16" t="str">
        <f t="shared" si="13"/>
        <v>C Industria manufacturera</v>
      </c>
      <c r="H117" s="14" t="str">
        <f t="shared" si="16"/>
        <v>23</v>
      </c>
      <c r="I117" s="17" t="s">
        <v>35</v>
      </c>
      <c r="J117" s="17" t="str">
        <f t="shared" si="11"/>
        <v>23 Fabricación de otros productos metálicos</v>
      </c>
      <c r="K117" s="14" t="str">
        <f t="shared" si="17"/>
        <v>239</v>
      </c>
      <c r="L117" s="15" t="s">
        <v>36</v>
      </c>
      <c r="M117" s="18" t="s">
        <v>37</v>
      </c>
      <c r="N117" s="15" t="s">
        <v>38</v>
      </c>
      <c r="O117" s="16" t="str">
        <f t="shared" si="12"/>
        <v>2394 Fabricación de Cemento, Cal y Yeso</v>
      </c>
      <c r="P117" s="10">
        <v>12908.71</v>
      </c>
    </row>
    <row r="118" spans="2:16" s="12" customFormat="1" ht="24" x14ac:dyDescent="0.25">
      <c r="B118" s="13" t="s">
        <v>403</v>
      </c>
      <c r="C118" s="19">
        <v>2013</v>
      </c>
      <c r="D118" s="38">
        <v>20100137390</v>
      </c>
      <c r="E118" s="14" t="s">
        <v>23</v>
      </c>
      <c r="F118" s="15" t="s">
        <v>24</v>
      </c>
      <c r="G118" s="16" t="str">
        <f t="shared" si="13"/>
        <v>C Industria manufacturera</v>
      </c>
      <c r="H118" s="14" t="str">
        <f t="shared" si="16"/>
        <v>23</v>
      </c>
      <c r="I118" s="17" t="s">
        <v>35</v>
      </c>
      <c r="J118" s="17" t="str">
        <f t="shared" si="11"/>
        <v>23 Fabricación de otros productos metálicos</v>
      </c>
      <c r="K118" s="14" t="str">
        <f t="shared" si="17"/>
        <v>239</v>
      </c>
      <c r="L118" s="15" t="s">
        <v>36</v>
      </c>
      <c r="M118" s="18" t="s">
        <v>37</v>
      </c>
      <c r="N118" s="15" t="s">
        <v>38</v>
      </c>
      <c r="O118" s="16" t="str">
        <f t="shared" si="12"/>
        <v>2394 Fabricación de Cemento, Cal y Yeso</v>
      </c>
      <c r="P118" s="10">
        <v>30143.11</v>
      </c>
    </row>
    <row r="119" spans="2:16" s="12" customFormat="1" ht="24" x14ac:dyDescent="0.25">
      <c r="B119" s="13" t="s">
        <v>403</v>
      </c>
      <c r="C119" s="19">
        <v>2016</v>
      </c>
      <c r="D119" s="38">
        <v>20100137390</v>
      </c>
      <c r="E119" s="14" t="s">
        <v>23</v>
      </c>
      <c r="F119" s="15" t="s">
        <v>24</v>
      </c>
      <c r="G119" s="16" t="str">
        <f t="shared" si="13"/>
        <v>C Industria manufacturera</v>
      </c>
      <c r="H119" s="14" t="str">
        <f t="shared" si="16"/>
        <v>23</v>
      </c>
      <c r="I119" s="17" t="s">
        <v>35</v>
      </c>
      <c r="J119" s="17" t="str">
        <f t="shared" si="11"/>
        <v>23 Fabricación de otros productos metálicos</v>
      </c>
      <c r="K119" s="14" t="str">
        <f t="shared" si="17"/>
        <v>239</v>
      </c>
      <c r="L119" s="15" t="s">
        <v>36</v>
      </c>
      <c r="M119" s="18" t="s">
        <v>37</v>
      </c>
      <c r="N119" s="15" t="s">
        <v>38</v>
      </c>
      <c r="O119" s="16" t="str">
        <f t="shared" si="12"/>
        <v>2394 Fabricación de Cemento, Cal y Yeso</v>
      </c>
      <c r="P119" s="10">
        <v>37465.96</v>
      </c>
    </row>
    <row r="120" spans="2:16" s="12" customFormat="1" ht="24" x14ac:dyDescent="0.25">
      <c r="B120" s="13" t="s">
        <v>403</v>
      </c>
      <c r="C120" s="19">
        <v>2019</v>
      </c>
      <c r="D120" s="38">
        <v>20100137390</v>
      </c>
      <c r="E120" s="14" t="s">
        <v>23</v>
      </c>
      <c r="F120" s="15" t="s">
        <v>24</v>
      </c>
      <c r="G120" s="16" t="str">
        <f t="shared" si="13"/>
        <v>C Industria manufacturera</v>
      </c>
      <c r="H120" s="14" t="str">
        <f t="shared" si="16"/>
        <v>23</v>
      </c>
      <c r="I120" s="17" t="s">
        <v>35</v>
      </c>
      <c r="J120" s="17" t="str">
        <f t="shared" si="11"/>
        <v>23 Fabricación de otros productos metálicos</v>
      </c>
      <c r="K120" s="14" t="str">
        <f t="shared" si="17"/>
        <v>239</v>
      </c>
      <c r="L120" s="15" t="s">
        <v>36</v>
      </c>
      <c r="M120" s="18" t="s">
        <v>37</v>
      </c>
      <c r="N120" s="15" t="s">
        <v>38</v>
      </c>
      <c r="O120" s="16" t="str">
        <f t="shared" si="12"/>
        <v>2394 Fabricación de Cemento, Cal y Yeso</v>
      </c>
      <c r="P120" s="10">
        <v>22991.07</v>
      </c>
    </row>
    <row r="121" spans="2:16" s="12" customFormat="1" ht="36" x14ac:dyDescent="0.25">
      <c r="B121" s="13" t="s">
        <v>194</v>
      </c>
      <c r="C121" s="19">
        <v>2014</v>
      </c>
      <c r="D121" s="38">
        <v>20100140340</v>
      </c>
      <c r="E121" s="14" t="s">
        <v>42</v>
      </c>
      <c r="F121" s="15" t="s">
        <v>43</v>
      </c>
      <c r="G121" s="16" t="str">
        <f t="shared" si="13"/>
        <v>G Comercio al por mayor y al por menor; reparación de vehículos automotores y motocicletas</v>
      </c>
      <c r="H121" s="14" t="str">
        <f t="shared" si="16"/>
        <v>46</v>
      </c>
      <c r="I121" s="17" t="s">
        <v>44</v>
      </c>
      <c r="J121" s="17" t="str">
        <f t="shared" si="11"/>
        <v>46 Comercio al por mayor, excepto el de vehículos automotores y motocicletas</v>
      </c>
      <c r="K121" s="14" t="str">
        <f t="shared" si="17"/>
        <v>466</v>
      </c>
      <c r="L121" s="15" t="s">
        <v>59</v>
      </c>
      <c r="M121" s="18" t="s">
        <v>116</v>
      </c>
      <c r="N121" s="15" t="s">
        <v>117</v>
      </c>
      <c r="O121" s="16" t="str">
        <f t="shared" si="12"/>
        <v>4662 Venta al por mayor de metales y minerales metalíferos</v>
      </c>
      <c r="P121" s="10">
        <v>14876.14</v>
      </c>
    </row>
    <row r="122" spans="2:16" s="12" customFormat="1" x14ac:dyDescent="0.25">
      <c r="B122" s="13" t="s">
        <v>53</v>
      </c>
      <c r="C122" s="19">
        <v>2002</v>
      </c>
      <c r="D122" s="38">
        <v>20100142989</v>
      </c>
      <c r="E122" s="14" t="s">
        <v>16</v>
      </c>
      <c r="F122" s="15" t="s">
        <v>17</v>
      </c>
      <c r="G122" s="16" t="str">
        <f t="shared" si="13"/>
        <v>B Explotación de minas y canteras</v>
      </c>
      <c r="H122" s="14" t="str">
        <f t="shared" si="16"/>
        <v>07</v>
      </c>
      <c r="I122" s="17" t="s">
        <v>18</v>
      </c>
      <c r="J122" s="17" t="str">
        <f t="shared" si="11"/>
        <v>07 Extracción de minerales metalíferos</v>
      </c>
      <c r="K122" s="14" t="str">
        <f t="shared" si="17"/>
        <v>071</v>
      </c>
      <c r="L122" s="15" t="s">
        <v>54</v>
      </c>
      <c r="M122" s="18" t="s">
        <v>55</v>
      </c>
      <c r="N122" s="15" t="s">
        <v>54</v>
      </c>
      <c r="O122" s="16" t="str">
        <f t="shared" si="12"/>
        <v>0710 Extracción de minerales de hierro</v>
      </c>
      <c r="P122" s="10">
        <v>11879.08</v>
      </c>
    </row>
    <row r="123" spans="2:16" s="12" customFormat="1" x14ac:dyDescent="0.25">
      <c r="B123" s="13" t="s">
        <v>53</v>
      </c>
      <c r="C123" s="19">
        <v>2011</v>
      </c>
      <c r="D123" s="38">
        <v>20100142989</v>
      </c>
      <c r="E123" s="14" t="s">
        <v>16</v>
      </c>
      <c r="F123" s="15" t="s">
        <v>17</v>
      </c>
      <c r="G123" s="16" t="str">
        <f t="shared" si="13"/>
        <v>B Explotación de minas y canteras</v>
      </c>
      <c r="H123" s="14" t="str">
        <f t="shared" si="16"/>
        <v>07</v>
      </c>
      <c r="I123" s="17" t="s">
        <v>18</v>
      </c>
      <c r="J123" s="17" t="str">
        <f t="shared" si="11"/>
        <v>07 Extracción de minerales metalíferos</v>
      </c>
      <c r="K123" s="14" t="str">
        <f t="shared" si="17"/>
        <v>071</v>
      </c>
      <c r="L123" s="15" t="s">
        <v>54</v>
      </c>
      <c r="M123" s="18" t="s">
        <v>55</v>
      </c>
      <c r="N123" s="15" t="s">
        <v>54</v>
      </c>
      <c r="O123" s="16" t="str">
        <f t="shared" si="12"/>
        <v>0710 Extracción de minerales de hierro</v>
      </c>
      <c r="P123" s="10">
        <v>218489.44</v>
      </c>
    </row>
    <row r="124" spans="2:16" s="12" customFormat="1" x14ac:dyDescent="0.25">
      <c r="B124" s="13" t="s">
        <v>53</v>
      </c>
      <c r="C124" s="19">
        <v>2012</v>
      </c>
      <c r="D124" s="38">
        <v>20100142989</v>
      </c>
      <c r="E124" s="14" t="s">
        <v>16</v>
      </c>
      <c r="F124" s="15" t="s">
        <v>17</v>
      </c>
      <c r="G124" s="16" t="str">
        <f t="shared" si="13"/>
        <v>B Explotación de minas y canteras</v>
      </c>
      <c r="H124" s="14" t="str">
        <f t="shared" si="16"/>
        <v>07</v>
      </c>
      <c r="I124" s="17" t="s">
        <v>18</v>
      </c>
      <c r="J124" s="17" t="str">
        <f t="shared" si="11"/>
        <v>07 Extracción de minerales metalíferos</v>
      </c>
      <c r="K124" s="14" t="str">
        <f t="shared" si="17"/>
        <v>071</v>
      </c>
      <c r="L124" s="15" t="s">
        <v>54</v>
      </c>
      <c r="M124" s="18" t="s">
        <v>55</v>
      </c>
      <c r="N124" s="15" t="s">
        <v>54</v>
      </c>
      <c r="O124" s="16" t="str">
        <f t="shared" si="12"/>
        <v>0710 Extracción de minerales de hierro</v>
      </c>
      <c r="P124" s="10">
        <v>8579585.5700000003</v>
      </c>
    </row>
    <row r="125" spans="2:16" s="12" customFormat="1" x14ac:dyDescent="0.25">
      <c r="B125" s="13" t="s">
        <v>53</v>
      </c>
      <c r="C125" s="19">
        <v>2014</v>
      </c>
      <c r="D125" s="38">
        <v>20100142989</v>
      </c>
      <c r="E125" s="14" t="s">
        <v>16</v>
      </c>
      <c r="F125" s="15" t="s">
        <v>17</v>
      </c>
      <c r="G125" s="16" t="str">
        <f t="shared" si="13"/>
        <v>B Explotación de minas y canteras</v>
      </c>
      <c r="H125" s="14" t="str">
        <f t="shared" si="16"/>
        <v>07</v>
      </c>
      <c r="I125" s="17" t="s">
        <v>18</v>
      </c>
      <c r="J125" s="17" t="str">
        <f t="shared" si="11"/>
        <v>07 Extracción de minerales metalíferos</v>
      </c>
      <c r="K125" s="14" t="str">
        <f t="shared" si="17"/>
        <v>071</v>
      </c>
      <c r="L125" s="15" t="s">
        <v>54</v>
      </c>
      <c r="M125" s="18" t="s">
        <v>55</v>
      </c>
      <c r="N125" s="15" t="s">
        <v>54</v>
      </c>
      <c r="O125" s="16" t="str">
        <f t="shared" si="12"/>
        <v>0710 Extracción de minerales de hierro</v>
      </c>
      <c r="P125" s="10">
        <v>31002.39</v>
      </c>
    </row>
    <row r="126" spans="2:16" s="12" customFormat="1" x14ac:dyDescent="0.25">
      <c r="B126" s="13" t="s">
        <v>53</v>
      </c>
      <c r="C126" s="19">
        <v>2021</v>
      </c>
      <c r="D126" s="38">
        <v>20100142989</v>
      </c>
      <c r="E126" s="14" t="s">
        <v>16</v>
      </c>
      <c r="F126" s="15" t="s">
        <v>17</v>
      </c>
      <c r="G126" s="16" t="str">
        <f t="shared" si="13"/>
        <v>B Explotación de minas y canteras</v>
      </c>
      <c r="H126" s="14" t="str">
        <f t="shared" si="16"/>
        <v>07</v>
      </c>
      <c r="I126" s="17" t="s">
        <v>18</v>
      </c>
      <c r="J126" s="17" t="str">
        <f t="shared" si="11"/>
        <v>07 Extracción de minerales metalíferos</v>
      </c>
      <c r="K126" s="14" t="str">
        <f t="shared" si="17"/>
        <v>071</v>
      </c>
      <c r="L126" s="15" t="s">
        <v>54</v>
      </c>
      <c r="M126" s="18" t="s">
        <v>55</v>
      </c>
      <c r="N126" s="15" t="s">
        <v>54</v>
      </c>
      <c r="O126" s="16" t="str">
        <f t="shared" si="12"/>
        <v>0710 Extracción de minerales de hierro</v>
      </c>
      <c r="P126" s="10">
        <v>112757.76000000001</v>
      </c>
    </row>
    <row r="127" spans="2:16" s="12" customFormat="1" x14ac:dyDescent="0.25">
      <c r="B127" s="13" t="s">
        <v>53</v>
      </c>
      <c r="C127" s="19">
        <v>2022</v>
      </c>
      <c r="D127" s="38">
        <v>20100142989</v>
      </c>
      <c r="E127" s="14" t="s">
        <v>16</v>
      </c>
      <c r="F127" s="15" t="s">
        <v>17</v>
      </c>
      <c r="G127" s="16" t="str">
        <f t="shared" si="13"/>
        <v>B Explotación de minas y canteras</v>
      </c>
      <c r="H127" s="14" t="str">
        <f t="shared" si="16"/>
        <v>07</v>
      </c>
      <c r="I127" s="17" t="s">
        <v>18</v>
      </c>
      <c r="J127" s="17" t="str">
        <f t="shared" si="11"/>
        <v>07 Extracción de minerales metalíferos</v>
      </c>
      <c r="K127" s="14" t="str">
        <f t="shared" si="17"/>
        <v>071</v>
      </c>
      <c r="L127" s="15" t="s">
        <v>54</v>
      </c>
      <c r="M127" s="18" t="s">
        <v>55</v>
      </c>
      <c r="N127" s="15" t="s">
        <v>54</v>
      </c>
      <c r="O127" s="16" t="str">
        <f t="shared" si="12"/>
        <v>0710 Extracción de minerales de hierro</v>
      </c>
      <c r="P127" s="10">
        <v>18828110.579999998</v>
      </c>
    </row>
    <row r="128" spans="2:16" s="12" customFormat="1" x14ac:dyDescent="0.25">
      <c r="B128" s="13" t="s">
        <v>53</v>
      </c>
      <c r="C128" s="19">
        <v>2023</v>
      </c>
      <c r="D128" s="38">
        <v>20100142989</v>
      </c>
      <c r="E128" s="14" t="s">
        <v>16</v>
      </c>
      <c r="F128" s="15" t="s">
        <v>17</v>
      </c>
      <c r="G128" s="16" t="str">
        <f t="shared" si="13"/>
        <v>B Explotación de minas y canteras</v>
      </c>
      <c r="H128" s="14" t="str">
        <f t="shared" si="16"/>
        <v>07</v>
      </c>
      <c r="I128" s="17" t="s">
        <v>18</v>
      </c>
      <c r="J128" s="17" t="str">
        <f t="shared" si="11"/>
        <v>07 Extracción de minerales metalíferos</v>
      </c>
      <c r="K128" s="14" t="str">
        <f t="shared" si="17"/>
        <v>071</v>
      </c>
      <c r="L128" s="15" t="s">
        <v>54</v>
      </c>
      <c r="M128" s="18" t="s">
        <v>55</v>
      </c>
      <c r="N128" s="15" t="s">
        <v>54</v>
      </c>
      <c r="O128" s="16" t="str">
        <f t="shared" si="12"/>
        <v>0710 Extracción de minerales de hierro</v>
      </c>
      <c r="P128" s="10">
        <v>1081410.5699999998</v>
      </c>
    </row>
    <row r="129" spans="1:16" s="12" customFormat="1" ht="24" x14ac:dyDescent="0.25">
      <c r="B129" s="13" t="s">
        <v>62</v>
      </c>
      <c r="C129" s="19">
        <v>2005</v>
      </c>
      <c r="D129" s="38">
        <v>20100147514</v>
      </c>
      <c r="E129" s="14" t="s">
        <v>16</v>
      </c>
      <c r="F129" s="15" t="s">
        <v>17</v>
      </c>
      <c r="G129" s="16" t="str">
        <f t="shared" si="13"/>
        <v>B Explotación de minas y canteras</v>
      </c>
      <c r="H129" s="14" t="str">
        <f t="shared" ref="H129:H160" si="18">LEFT(K129,2)</f>
        <v>07</v>
      </c>
      <c r="I129" s="17" t="s">
        <v>18</v>
      </c>
      <c r="J129" s="17" t="str">
        <f t="shared" si="11"/>
        <v>07 Extracción de minerales metalíferos</v>
      </c>
      <c r="K129" s="14" t="str">
        <f t="shared" si="17"/>
        <v>072</v>
      </c>
      <c r="L129" s="15" t="s">
        <v>19</v>
      </c>
      <c r="M129" s="18" t="s">
        <v>20</v>
      </c>
      <c r="N129" s="15" t="s">
        <v>21</v>
      </c>
      <c r="O129" s="16" t="str">
        <f t="shared" si="12"/>
        <v>0729 Extracción de otros minerales metalíferos no ferrosos</v>
      </c>
      <c r="P129" s="10">
        <v>74731.73</v>
      </c>
    </row>
    <row r="130" spans="1:16" s="52" customFormat="1" ht="24" x14ac:dyDescent="0.25">
      <c r="A130" s="12"/>
      <c r="B130" s="13" t="s">
        <v>62</v>
      </c>
      <c r="C130" s="19">
        <v>2006</v>
      </c>
      <c r="D130" s="38">
        <v>20100147514</v>
      </c>
      <c r="E130" s="14" t="s">
        <v>16</v>
      </c>
      <c r="F130" s="15" t="s">
        <v>17</v>
      </c>
      <c r="G130" s="16" t="str">
        <f t="shared" si="13"/>
        <v>B Explotación de minas y canteras</v>
      </c>
      <c r="H130" s="14" t="str">
        <f t="shared" si="18"/>
        <v>07</v>
      </c>
      <c r="I130" s="17" t="s">
        <v>18</v>
      </c>
      <c r="J130" s="17" t="str">
        <f t="shared" ref="J130:J193" si="19">H130&amp;" "&amp;I130</f>
        <v>07 Extracción de minerales metalíferos</v>
      </c>
      <c r="K130" s="14" t="str">
        <f t="shared" si="17"/>
        <v>072</v>
      </c>
      <c r="L130" s="15" t="s">
        <v>19</v>
      </c>
      <c r="M130" s="18" t="s">
        <v>20</v>
      </c>
      <c r="N130" s="15" t="s">
        <v>21</v>
      </c>
      <c r="O130" s="16" t="str">
        <f t="shared" ref="O130:O193" si="20">M130&amp;" "&amp;N130</f>
        <v>0729 Extracción de otros minerales metalíferos no ferrosos</v>
      </c>
      <c r="P130" s="10">
        <v>15236580.77</v>
      </c>
    </row>
    <row r="131" spans="1:16" s="12" customFormat="1" ht="24" x14ac:dyDescent="0.25">
      <c r="B131" s="13" t="s">
        <v>62</v>
      </c>
      <c r="C131" s="19">
        <v>2007</v>
      </c>
      <c r="D131" s="38">
        <v>20100147514</v>
      </c>
      <c r="E131" s="14" t="s">
        <v>16</v>
      </c>
      <c r="F131" s="15" t="s">
        <v>17</v>
      </c>
      <c r="G131" s="16" t="str">
        <f t="shared" si="13"/>
        <v>B Explotación de minas y canteras</v>
      </c>
      <c r="H131" s="14" t="str">
        <f t="shared" si="18"/>
        <v>07</v>
      </c>
      <c r="I131" s="17" t="s">
        <v>18</v>
      </c>
      <c r="J131" s="17" t="str">
        <f t="shared" si="19"/>
        <v>07 Extracción de minerales metalíferos</v>
      </c>
      <c r="K131" s="14" t="str">
        <f t="shared" si="17"/>
        <v>072</v>
      </c>
      <c r="L131" s="15" t="s">
        <v>19</v>
      </c>
      <c r="M131" s="18" t="s">
        <v>20</v>
      </c>
      <c r="N131" s="15" t="s">
        <v>21</v>
      </c>
      <c r="O131" s="16" t="str">
        <f t="shared" si="20"/>
        <v>0729 Extracción de otros minerales metalíferos no ferrosos</v>
      </c>
      <c r="P131" s="10">
        <v>14960000</v>
      </c>
    </row>
    <row r="132" spans="1:16" s="12" customFormat="1" ht="24" x14ac:dyDescent="0.25">
      <c r="B132" s="13" t="s">
        <v>62</v>
      </c>
      <c r="C132" s="19">
        <v>2008</v>
      </c>
      <c r="D132" s="38">
        <v>20100147514</v>
      </c>
      <c r="E132" s="14" t="s">
        <v>16</v>
      </c>
      <c r="F132" s="15" t="s">
        <v>17</v>
      </c>
      <c r="G132" s="16" t="str">
        <f t="shared" si="13"/>
        <v>B Explotación de minas y canteras</v>
      </c>
      <c r="H132" s="14" t="str">
        <f t="shared" si="18"/>
        <v>07</v>
      </c>
      <c r="I132" s="17" t="s">
        <v>18</v>
      </c>
      <c r="J132" s="17" t="str">
        <f t="shared" si="19"/>
        <v>07 Extracción de minerales metalíferos</v>
      </c>
      <c r="K132" s="14" t="str">
        <f t="shared" si="17"/>
        <v>072</v>
      </c>
      <c r="L132" s="15" t="s">
        <v>19</v>
      </c>
      <c r="M132" s="18" t="s">
        <v>20</v>
      </c>
      <c r="N132" s="15" t="s">
        <v>21</v>
      </c>
      <c r="O132" s="16" t="str">
        <f t="shared" si="20"/>
        <v>0729 Extracción de otros minerales metalíferos no ferrosos</v>
      </c>
      <c r="P132" s="10">
        <v>15180000</v>
      </c>
    </row>
    <row r="133" spans="1:16" s="12" customFormat="1" ht="24" x14ac:dyDescent="0.25">
      <c r="B133" s="13" t="s">
        <v>62</v>
      </c>
      <c r="C133" s="19">
        <v>2009</v>
      </c>
      <c r="D133" s="38">
        <v>20100147514</v>
      </c>
      <c r="E133" s="14" t="s">
        <v>16</v>
      </c>
      <c r="F133" s="15" t="s">
        <v>17</v>
      </c>
      <c r="G133" s="16" t="str">
        <f t="shared" si="13"/>
        <v>B Explotación de minas y canteras</v>
      </c>
      <c r="H133" s="14" t="str">
        <f t="shared" si="18"/>
        <v>07</v>
      </c>
      <c r="I133" s="17" t="s">
        <v>18</v>
      </c>
      <c r="J133" s="17" t="str">
        <f t="shared" si="19"/>
        <v>07 Extracción de minerales metalíferos</v>
      </c>
      <c r="K133" s="14" t="str">
        <f t="shared" si="17"/>
        <v>072</v>
      </c>
      <c r="L133" s="15" t="s">
        <v>19</v>
      </c>
      <c r="M133" s="18" t="s">
        <v>20</v>
      </c>
      <c r="N133" s="15" t="s">
        <v>21</v>
      </c>
      <c r="O133" s="16" t="str">
        <f t="shared" si="20"/>
        <v>0729 Extracción de otros minerales metalíferos no ferrosos</v>
      </c>
      <c r="P133" s="10">
        <v>1086200.68</v>
      </c>
    </row>
    <row r="134" spans="1:16" s="12" customFormat="1" ht="24" x14ac:dyDescent="0.25">
      <c r="B134" s="13" t="s">
        <v>62</v>
      </c>
      <c r="C134" s="19">
        <v>2011</v>
      </c>
      <c r="D134" s="38">
        <v>20100147514</v>
      </c>
      <c r="E134" s="14" t="s">
        <v>16</v>
      </c>
      <c r="F134" s="15" t="s">
        <v>17</v>
      </c>
      <c r="G134" s="16" t="str">
        <f t="shared" si="13"/>
        <v>B Explotación de minas y canteras</v>
      </c>
      <c r="H134" s="14" t="str">
        <f t="shared" si="18"/>
        <v>07</v>
      </c>
      <c r="I134" s="17" t="s">
        <v>18</v>
      </c>
      <c r="J134" s="17" t="str">
        <f t="shared" si="19"/>
        <v>07 Extracción de minerales metalíferos</v>
      </c>
      <c r="K134" s="14" t="str">
        <f t="shared" si="17"/>
        <v>072</v>
      </c>
      <c r="L134" s="15" t="s">
        <v>19</v>
      </c>
      <c r="M134" s="18" t="s">
        <v>20</v>
      </c>
      <c r="N134" s="15" t="s">
        <v>21</v>
      </c>
      <c r="O134" s="16" t="str">
        <f t="shared" si="20"/>
        <v>0729 Extracción de otros minerales metalíferos no ferrosos</v>
      </c>
      <c r="P134" s="10">
        <v>90695.24</v>
      </c>
    </row>
    <row r="135" spans="1:16" s="12" customFormat="1" ht="24" x14ac:dyDescent="0.25">
      <c r="B135" s="13" t="s">
        <v>62</v>
      </c>
      <c r="C135" s="19">
        <v>2022</v>
      </c>
      <c r="D135" s="38">
        <v>20100147514</v>
      </c>
      <c r="E135" s="14" t="s">
        <v>16</v>
      </c>
      <c r="F135" s="15" t="s">
        <v>17</v>
      </c>
      <c r="G135" s="16" t="str">
        <f t="shared" si="13"/>
        <v>B Explotación de minas y canteras</v>
      </c>
      <c r="H135" s="14" t="str">
        <f t="shared" si="18"/>
        <v>07</v>
      </c>
      <c r="I135" s="17" t="s">
        <v>18</v>
      </c>
      <c r="J135" s="17" t="str">
        <f t="shared" si="19"/>
        <v>07 Extracción de minerales metalíferos</v>
      </c>
      <c r="K135" s="14" t="str">
        <f t="shared" si="17"/>
        <v>072</v>
      </c>
      <c r="L135" s="15" t="s">
        <v>19</v>
      </c>
      <c r="M135" s="18" t="s">
        <v>20</v>
      </c>
      <c r="N135" s="15" t="s">
        <v>21</v>
      </c>
      <c r="O135" s="16" t="str">
        <f t="shared" si="20"/>
        <v>0729 Extracción de otros minerales metalíferos no ferrosos</v>
      </c>
      <c r="P135" s="10">
        <v>11460693.01</v>
      </c>
    </row>
    <row r="136" spans="1:16" s="12" customFormat="1" ht="24" x14ac:dyDescent="0.25">
      <c r="A136" s="12">
        <v>39</v>
      </c>
      <c r="B136" s="22" t="s">
        <v>62</v>
      </c>
      <c r="C136" s="19">
        <v>2025</v>
      </c>
      <c r="D136" s="38">
        <v>20100147514</v>
      </c>
      <c r="E136" s="14" t="s">
        <v>16</v>
      </c>
      <c r="F136" s="15" t="s">
        <v>17</v>
      </c>
      <c r="G136" s="16" t="str">
        <f t="shared" si="13"/>
        <v>B Explotación de minas y canteras</v>
      </c>
      <c r="H136" s="14" t="str">
        <f t="shared" si="18"/>
        <v>07</v>
      </c>
      <c r="I136" s="17" t="s">
        <v>18</v>
      </c>
      <c r="J136" s="17" t="str">
        <f t="shared" si="19"/>
        <v>07 Extracción de minerales metalíferos</v>
      </c>
      <c r="K136" s="14" t="str">
        <f t="shared" si="17"/>
        <v>072</v>
      </c>
      <c r="L136" s="15" t="s">
        <v>19</v>
      </c>
      <c r="M136" s="18" t="s">
        <v>20</v>
      </c>
      <c r="N136" s="15" t="s">
        <v>21</v>
      </c>
      <c r="O136" s="16" t="str">
        <f t="shared" si="20"/>
        <v>0729 Extracción de otros minerales metalíferos no ferrosos</v>
      </c>
      <c r="P136" s="10">
        <v>58613.56</v>
      </c>
    </row>
    <row r="137" spans="1:16" s="12" customFormat="1" ht="24" x14ac:dyDescent="0.25">
      <c r="B137" s="13" t="s">
        <v>113</v>
      </c>
      <c r="C137" s="19">
        <v>2007</v>
      </c>
      <c r="D137" s="38">
        <v>20100163552</v>
      </c>
      <c r="E137" s="14" t="s">
        <v>16</v>
      </c>
      <c r="F137" s="15" t="s">
        <v>17</v>
      </c>
      <c r="G137" s="16" t="str">
        <f t="shared" si="13"/>
        <v>B Explotación de minas y canteras</v>
      </c>
      <c r="H137" s="14" t="str">
        <f t="shared" si="18"/>
        <v>07</v>
      </c>
      <c r="I137" s="17" t="s">
        <v>18</v>
      </c>
      <c r="J137" s="17" t="str">
        <f t="shared" si="19"/>
        <v>07 Extracción de minerales metalíferos</v>
      </c>
      <c r="K137" s="14" t="str">
        <f t="shared" si="17"/>
        <v>072</v>
      </c>
      <c r="L137" s="15" t="s">
        <v>19</v>
      </c>
      <c r="M137" s="18" t="s">
        <v>20</v>
      </c>
      <c r="N137" s="15" t="s">
        <v>21</v>
      </c>
      <c r="O137" s="16" t="str">
        <f t="shared" si="20"/>
        <v>0729 Extracción de otros minerales metalíferos no ferrosos</v>
      </c>
      <c r="P137" s="10">
        <v>129690.74</v>
      </c>
    </row>
    <row r="138" spans="1:16" s="12" customFormat="1" ht="24" x14ac:dyDescent="0.25">
      <c r="B138" s="13" t="s">
        <v>113</v>
      </c>
      <c r="C138" s="19">
        <v>2008</v>
      </c>
      <c r="D138" s="38">
        <v>20100163552</v>
      </c>
      <c r="E138" s="14" t="s">
        <v>16</v>
      </c>
      <c r="F138" s="15" t="s">
        <v>17</v>
      </c>
      <c r="G138" s="16" t="str">
        <f t="shared" si="13"/>
        <v>B Explotación de minas y canteras</v>
      </c>
      <c r="H138" s="14" t="str">
        <f t="shared" si="18"/>
        <v>07</v>
      </c>
      <c r="I138" s="17" t="s">
        <v>18</v>
      </c>
      <c r="J138" s="17" t="str">
        <f t="shared" si="19"/>
        <v>07 Extracción de minerales metalíferos</v>
      </c>
      <c r="K138" s="14" t="str">
        <f t="shared" si="17"/>
        <v>072</v>
      </c>
      <c r="L138" s="15" t="s">
        <v>19</v>
      </c>
      <c r="M138" s="18" t="s">
        <v>20</v>
      </c>
      <c r="N138" s="15" t="s">
        <v>21</v>
      </c>
      <c r="O138" s="16" t="str">
        <f t="shared" si="20"/>
        <v>0729 Extracción de otros minerales metalíferos no ferrosos</v>
      </c>
      <c r="P138" s="10">
        <v>40216.410000000003</v>
      </c>
    </row>
    <row r="139" spans="1:16" s="12" customFormat="1" ht="24" x14ac:dyDescent="0.25">
      <c r="B139" s="13" t="s">
        <v>113</v>
      </c>
      <c r="C139" s="19">
        <v>2018</v>
      </c>
      <c r="D139" s="38">
        <v>20100163552</v>
      </c>
      <c r="E139" s="14" t="s">
        <v>16</v>
      </c>
      <c r="F139" s="15" t="s">
        <v>17</v>
      </c>
      <c r="G139" s="16" t="str">
        <f t="shared" si="13"/>
        <v>B Explotación de minas y canteras</v>
      </c>
      <c r="H139" s="14" t="str">
        <f t="shared" si="18"/>
        <v>07</v>
      </c>
      <c r="I139" s="17" t="s">
        <v>18</v>
      </c>
      <c r="J139" s="17" t="str">
        <f t="shared" si="19"/>
        <v>07 Extracción de minerales metalíferos</v>
      </c>
      <c r="K139" s="14" t="str">
        <f t="shared" si="17"/>
        <v>072</v>
      </c>
      <c r="L139" s="15" t="s">
        <v>19</v>
      </c>
      <c r="M139" s="18" t="s">
        <v>20</v>
      </c>
      <c r="N139" s="15" t="s">
        <v>21</v>
      </c>
      <c r="O139" s="16" t="str">
        <f t="shared" si="20"/>
        <v>0729 Extracción de otros minerales metalíferos no ferrosos</v>
      </c>
      <c r="P139" s="10">
        <v>3414.93</v>
      </c>
    </row>
    <row r="140" spans="1:16" s="12" customFormat="1" ht="36" x14ac:dyDescent="0.25">
      <c r="B140" s="13" t="s">
        <v>172</v>
      </c>
      <c r="C140" s="19">
        <v>2012</v>
      </c>
      <c r="D140" s="38">
        <v>20100176450</v>
      </c>
      <c r="E140" s="14" t="s">
        <v>42</v>
      </c>
      <c r="F140" s="15" t="s">
        <v>43</v>
      </c>
      <c r="G140" s="16" t="str">
        <f t="shared" si="13"/>
        <v>G Comercio al por mayor y al por menor; reparación de vehículos automotores y motocicletas</v>
      </c>
      <c r="H140" s="14" t="str">
        <f t="shared" si="18"/>
        <v>46</v>
      </c>
      <c r="I140" s="17" t="s">
        <v>44</v>
      </c>
      <c r="J140" s="17" t="str">
        <f t="shared" si="19"/>
        <v>46 Comercio al por mayor, excepto el de vehículos automotores y motocicletas</v>
      </c>
      <c r="K140" s="14" t="str">
        <f t="shared" si="17"/>
        <v>466</v>
      </c>
      <c r="L140" s="15" t="s">
        <v>59</v>
      </c>
      <c r="M140" s="18" t="s">
        <v>145</v>
      </c>
      <c r="N140" s="15" t="s">
        <v>146</v>
      </c>
      <c r="O140" s="16" t="str">
        <f t="shared" si="20"/>
        <v>4661 Venta al por mayor de combustible sólidos, líquidos y gaseosos y productos conexos</v>
      </c>
      <c r="P140" s="10">
        <v>67517.649999999994</v>
      </c>
    </row>
    <row r="141" spans="1:16" s="12" customFormat="1" x14ac:dyDescent="0.25">
      <c r="B141" s="13" t="s">
        <v>129</v>
      </c>
      <c r="C141" s="19">
        <v>2009</v>
      </c>
      <c r="D141" s="38">
        <v>20100177774</v>
      </c>
      <c r="E141" s="14" t="s">
        <v>95</v>
      </c>
      <c r="F141" s="15" t="s">
        <v>96</v>
      </c>
      <c r="G141" s="16" t="str">
        <f t="shared" si="13"/>
        <v>J Información y comunicaciones</v>
      </c>
      <c r="H141" s="14" t="str">
        <f t="shared" si="18"/>
        <v>61</v>
      </c>
      <c r="I141" s="17" t="s">
        <v>97</v>
      </c>
      <c r="J141" s="17" t="str">
        <f t="shared" si="19"/>
        <v>61 Telecomunicaciones</v>
      </c>
      <c r="K141" s="14" t="str">
        <f t="shared" si="17"/>
        <v>619</v>
      </c>
      <c r="L141" s="15" t="s">
        <v>98</v>
      </c>
      <c r="M141" s="18" t="s">
        <v>99</v>
      </c>
      <c r="N141" s="15" t="s">
        <v>98</v>
      </c>
      <c r="O141" s="16" t="str">
        <f t="shared" si="20"/>
        <v>6190 Otras actividades de telecomunicaciones</v>
      </c>
      <c r="P141" s="10">
        <v>511932.19000000006</v>
      </c>
    </row>
    <row r="142" spans="1:16" s="12" customFormat="1" x14ac:dyDescent="0.25">
      <c r="B142" s="13" t="s">
        <v>129</v>
      </c>
      <c r="C142" s="19">
        <v>2010</v>
      </c>
      <c r="D142" s="38">
        <v>20100177774</v>
      </c>
      <c r="E142" s="14" t="s">
        <v>95</v>
      </c>
      <c r="F142" s="15" t="s">
        <v>96</v>
      </c>
      <c r="G142" s="16" t="str">
        <f t="shared" si="13"/>
        <v>J Información y comunicaciones</v>
      </c>
      <c r="H142" s="14" t="str">
        <f t="shared" si="18"/>
        <v>61</v>
      </c>
      <c r="I142" s="17" t="s">
        <v>97</v>
      </c>
      <c r="J142" s="17" t="str">
        <f t="shared" si="19"/>
        <v>61 Telecomunicaciones</v>
      </c>
      <c r="K142" s="14" t="str">
        <f t="shared" si="17"/>
        <v>619</v>
      </c>
      <c r="L142" s="15" t="s">
        <v>98</v>
      </c>
      <c r="M142" s="18" t="s">
        <v>99</v>
      </c>
      <c r="N142" s="15" t="s">
        <v>98</v>
      </c>
      <c r="O142" s="16" t="str">
        <f t="shared" si="20"/>
        <v>6190 Otras actividades de telecomunicaciones</v>
      </c>
      <c r="P142" s="10">
        <v>7622593.0499999989</v>
      </c>
    </row>
    <row r="143" spans="1:16" s="12" customFormat="1" x14ac:dyDescent="0.25">
      <c r="B143" s="13" t="s">
        <v>129</v>
      </c>
      <c r="C143" s="19">
        <v>2011</v>
      </c>
      <c r="D143" s="38">
        <v>20100177774</v>
      </c>
      <c r="E143" s="14" t="s">
        <v>95</v>
      </c>
      <c r="F143" s="15" t="s">
        <v>96</v>
      </c>
      <c r="G143" s="16" t="str">
        <f t="shared" si="13"/>
        <v>J Información y comunicaciones</v>
      </c>
      <c r="H143" s="14" t="str">
        <f t="shared" si="18"/>
        <v>61</v>
      </c>
      <c r="I143" s="17" t="s">
        <v>97</v>
      </c>
      <c r="J143" s="17" t="str">
        <f t="shared" si="19"/>
        <v>61 Telecomunicaciones</v>
      </c>
      <c r="K143" s="14" t="str">
        <f t="shared" si="17"/>
        <v>619</v>
      </c>
      <c r="L143" s="15" t="s">
        <v>98</v>
      </c>
      <c r="M143" s="18" t="s">
        <v>99</v>
      </c>
      <c r="N143" s="15" t="s">
        <v>98</v>
      </c>
      <c r="O143" s="16" t="str">
        <f t="shared" si="20"/>
        <v>6190 Otras actividades de telecomunicaciones</v>
      </c>
      <c r="P143" s="10">
        <v>5166848.9400000004</v>
      </c>
    </row>
    <row r="144" spans="1:16" s="12" customFormat="1" x14ac:dyDescent="0.25">
      <c r="B144" s="13" t="s">
        <v>129</v>
      </c>
      <c r="C144" s="19">
        <v>2012</v>
      </c>
      <c r="D144" s="38">
        <v>20100177774</v>
      </c>
      <c r="E144" s="14" t="s">
        <v>95</v>
      </c>
      <c r="F144" s="15" t="s">
        <v>96</v>
      </c>
      <c r="G144" s="16" t="str">
        <f t="shared" ref="G144:G207" si="21">E144&amp;" "&amp;F144</f>
        <v>J Información y comunicaciones</v>
      </c>
      <c r="H144" s="14" t="str">
        <f t="shared" si="18"/>
        <v>61</v>
      </c>
      <c r="I144" s="17" t="s">
        <v>97</v>
      </c>
      <c r="J144" s="17" t="str">
        <f t="shared" si="19"/>
        <v>61 Telecomunicaciones</v>
      </c>
      <c r="K144" s="14" t="str">
        <f t="shared" ref="K144:K175" si="22">LEFT(M144,3)</f>
        <v>619</v>
      </c>
      <c r="L144" s="15" t="s">
        <v>98</v>
      </c>
      <c r="M144" s="18" t="s">
        <v>99</v>
      </c>
      <c r="N144" s="15" t="s">
        <v>98</v>
      </c>
      <c r="O144" s="16" t="str">
        <f t="shared" si="20"/>
        <v>6190 Otras actividades de telecomunicaciones</v>
      </c>
      <c r="P144" s="10">
        <v>1137605.43</v>
      </c>
    </row>
    <row r="145" spans="2:16" s="12" customFormat="1" x14ac:dyDescent="0.25">
      <c r="B145" s="13" t="s">
        <v>129</v>
      </c>
      <c r="C145" s="19">
        <v>2013</v>
      </c>
      <c r="D145" s="38">
        <v>20100177774</v>
      </c>
      <c r="E145" s="14" t="s">
        <v>95</v>
      </c>
      <c r="F145" s="15" t="s">
        <v>96</v>
      </c>
      <c r="G145" s="16" t="str">
        <f t="shared" si="21"/>
        <v>J Información y comunicaciones</v>
      </c>
      <c r="H145" s="14" t="str">
        <f t="shared" si="18"/>
        <v>61</v>
      </c>
      <c r="I145" s="17" t="s">
        <v>97</v>
      </c>
      <c r="J145" s="17" t="str">
        <f t="shared" si="19"/>
        <v>61 Telecomunicaciones</v>
      </c>
      <c r="K145" s="14" t="str">
        <f t="shared" si="22"/>
        <v>619</v>
      </c>
      <c r="L145" s="15" t="s">
        <v>98</v>
      </c>
      <c r="M145" s="18" t="s">
        <v>99</v>
      </c>
      <c r="N145" s="15" t="s">
        <v>98</v>
      </c>
      <c r="O145" s="16" t="str">
        <f t="shared" si="20"/>
        <v>6190 Otras actividades de telecomunicaciones</v>
      </c>
      <c r="P145" s="10">
        <v>122994.86</v>
      </c>
    </row>
    <row r="146" spans="2:16" s="12" customFormat="1" x14ac:dyDescent="0.25">
      <c r="B146" s="13" t="s">
        <v>129</v>
      </c>
      <c r="C146" s="19">
        <v>2013</v>
      </c>
      <c r="D146" s="38">
        <v>20100177774</v>
      </c>
      <c r="E146" s="14" t="s">
        <v>95</v>
      </c>
      <c r="F146" s="15" t="s">
        <v>96</v>
      </c>
      <c r="G146" s="16" t="str">
        <f t="shared" si="21"/>
        <v>J Información y comunicaciones</v>
      </c>
      <c r="H146" s="14" t="str">
        <f t="shared" si="18"/>
        <v>61</v>
      </c>
      <c r="I146" s="17" t="s">
        <v>97</v>
      </c>
      <c r="J146" s="17" t="str">
        <f t="shared" si="19"/>
        <v>61 Telecomunicaciones</v>
      </c>
      <c r="K146" s="14" t="str">
        <f t="shared" si="22"/>
        <v>619</v>
      </c>
      <c r="L146" s="15" t="s">
        <v>98</v>
      </c>
      <c r="M146" s="18" t="s">
        <v>99</v>
      </c>
      <c r="N146" s="15" t="s">
        <v>98</v>
      </c>
      <c r="O146" s="16" t="str">
        <f t="shared" si="20"/>
        <v>6190 Otras actividades de telecomunicaciones</v>
      </c>
      <c r="P146" s="10">
        <v>39282.79</v>
      </c>
    </row>
    <row r="147" spans="2:16" s="12" customFormat="1" x14ac:dyDescent="0.25">
      <c r="B147" s="13" t="s">
        <v>129</v>
      </c>
      <c r="C147" s="19">
        <v>2013</v>
      </c>
      <c r="D147" s="38">
        <v>20100177774</v>
      </c>
      <c r="E147" s="14" t="s">
        <v>95</v>
      </c>
      <c r="F147" s="15" t="s">
        <v>96</v>
      </c>
      <c r="G147" s="16" t="str">
        <f t="shared" si="21"/>
        <v>J Información y comunicaciones</v>
      </c>
      <c r="H147" s="14" t="str">
        <f t="shared" si="18"/>
        <v>61</v>
      </c>
      <c r="I147" s="17" t="s">
        <v>97</v>
      </c>
      <c r="J147" s="17" t="str">
        <f t="shared" si="19"/>
        <v>61 Telecomunicaciones</v>
      </c>
      <c r="K147" s="14" t="str">
        <f t="shared" si="22"/>
        <v>619</v>
      </c>
      <c r="L147" s="15" t="s">
        <v>98</v>
      </c>
      <c r="M147" s="18" t="s">
        <v>99</v>
      </c>
      <c r="N147" s="15" t="s">
        <v>98</v>
      </c>
      <c r="O147" s="16" t="str">
        <f t="shared" si="20"/>
        <v>6190 Otras actividades de telecomunicaciones</v>
      </c>
      <c r="P147" s="10">
        <v>12108.58</v>
      </c>
    </row>
    <row r="148" spans="2:16" s="12" customFormat="1" x14ac:dyDescent="0.25">
      <c r="B148" s="13" t="s">
        <v>129</v>
      </c>
      <c r="C148" s="19">
        <v>2014</v>
      </c>
      <c r="D148" s="38">
        <v>20100177774</v>
      </c>
      <c r="E148" s="14" t="s">
        <v>95</v>
      </c>
      <c r="F148" s="15" t="s">
        <v>96</v>
      </c>
      <c r="G148" s="16" t="str">
        <f t="shared" si="21"/>
        <v>J Información y comunicaciones</v>
      </c>
      <c r="H148" s="14" t="str">
        <f t="shared" si="18"/>
        <v>61</v>
      </c>
      <c r="I148" s="17" t="s">
        <v>97</v>
      </c>
      <c r="J148" s="17" t="str">
        <f t="shared" si="19"/>
        <v>61 Telecomunicaciones</v>
      </c>
      <c r="K148" s="14" t="str">
        <f t="shared" si="22"/>
        <v>619</v>
      </c>
      <c r="L148" s="15" t="s">
        <v>98</v>
      </c>
      <c r="M148" s="18" t="s">
        <v>99</v>
      </c>
      <c r="N148" s="15" t="s">
        <v>98</v>
      </c>
      <c r="O148" s="16" t="str">
        <f t="shared" si="20"/>
        <v>6190 Otras actividades de telecomunicaciones</v>
      </c>
      <c r="P148" s="10">
        <v>40668.47</v>
      </c>
    </row>
    <row r="149" spans="2:16" s="12" customFormat="1" x14ac:dyDescent="0.25">
      <c r="B149" s="13" t="s">
        <v>129</v>
      </c>
      <c r="C149" s="19">
        <v>2014</v>
      </c>
      <c r="D149" s="38">
        <v>20100177774</v>
      </c>
      <c r="E149" s="14" t="s">
        <v>95</v>
      </c>
      <c r="F149" s="15" t="s">
        <v>96</v>
      </c>
      <c r="G149" s="16" t="str">
        <f t="shared" si="21"/>
        <v>J Información y comunicaciones</v>
      </c>
      <c r="H149" s="14" t="str">
        <f t="shared" si="18"/>
        <v>61</v>
      </c>
      <c r="I149" s="17" t="s">
        <v>97</v>
      </c>
      <c r="J149" s="17" t="str">
        <f t="shared" si="19"/>
        <v>61 Telecomunicaciones</v>
      </c>
      <c r="K149" s="14" t="str">
        <f t="shared" si="22"/>
        <v>619</v>
      </c>
      <c r="L149" s="15" t="s">
        <v>98</v>
      </c>
      <c r="M149" s="18" t="s">
        <v>99</v>
      </c>
      <c r="N149" s="15" t="s">
        <v>98</v>
      </c>
      <c r="O149" s="16" t="str">
        <f t="shared" si="20"/>
        <v>6190 Otras actividades de telecomunicaciones</v>
      </c>
      <c r="P149" s="10">
        <v>34121.660000000003</v>
      </c>
    </row>
    <row r="150" spans="2:16" s="12" customFormat="1" ht="36" x14ac:dyDescent="0.25">
      <c r="B150" s="13" t="s">
        <v>264</v>
      </c>
      <c r="C150" s="19">
        <v>2019</v>
      </c>
      <c r="D150" s="38">
        <v>20100192064</v>
      </c>
      <c r="E150" s="14" t="s">
        <v>23</v>
      </c>
      <c r="F150" s="15" t="s">
        <v>24</v>
      </c>
      <c r="G150" s="16" t="str">
        <f t="shared" si="21"/>
        <v>C Industria manufacturera</v>
      </c>
      <c r="H150" s="14" t="str">
        <f t="shared" si="18"/>
        <v>25</v>
      </c>
      <c r="I150" s="17" t="s">
        <v>90</v>
      </c>
      <c r="J150" s="17" t="str">
        <f t="shared" si="19"/>
        <v>25 Fabricación de productos elaborados de metal, excepto maquinaria y equipo</v>
      </c>
      <c r="K150" s="14" t="str">
        <f t="shared" si="22"/>
        <v>259</v>
      </c>
      <c r="L150" s="15" t="s">
        <v>91</v>
      </c>
      <c r="M150" s="18" t="s">
        <v>92</v>
      </c>
      <c r="N150" s="15" t="s">
        <v>93</v>
      </c>
      <c r="O150" s="16" t="str">
        <f t="shared" si="20"/>
        <v>2591 Forja, prensado, estampado y laminado de metales; pulvimetalurgia</v>
      </c>
      <c r="P150" s="10">
        <v>313601.77</v>
      </c>
    </row>
    <row r="151" spans="2:16" s="12" customFormat="1" ht="36" x14ac:dyDescent="0.25">
      <c r="B151" s="13" t="s">
        <v>264</v>
      </c>
      <c r="C151" s="19">
        <v>2019</v>
      </c>
      <c r="D151" s="38">
        <v>20100192064</v>
      </c>
      <c r="E151" s="14" t="s">
        <v>23</v>
      </c>
      <c r="F151" s="15" t="s">
        <v>24</v>
      </c>
      <c r="G151" s="16" t="str">
        <f t="shared" si="21"/>
        <v>C Industria manufacturera</v>
      </c>
      <c r="H151" s="14" t="str">
        <f t="shared" si="18"/>
        <v>25</v>
      </c>
      <c r="I151" s="17" t="s">
        <v>90</v>
      </c>
      <c r="J151" s="17" t="str">
        <f t="shared" si="19"/>
        <v>25 Fabricación de productos elaborados de metal, excepto maquinaria y equipo</v>
      </c>
      <c r="K151" s="14" t="str">
        <f t="shared" si="22"/>
        <v>259</v>
      </c>
      <c r="L151" s="15" t="s">
        <v>91</v>
      </c>
      <c r="M151" s="18" t="s">
        <v>92</v>
      </c>
      <c r="N151" s="15" t="s">
        <v>93</v>
      </c>
      <c r="O151" s="16" t="str">
        <f t="shared" si="20"/>
        <v>2591 Forja, prensado, estampado y laminado de metales; pulvimetalurgia</v>
      </c>
      <c r="P151" s="10">
        <v>65889.69</v>
      </c>
    </row>
    <row r="152" spans="2:16" s="12" customFormat="1" ht="36" x14ac:dyDescent="0.25">
      <c r="B152" s="13" t="s">
        <v>264</v>
      </c>
      <c r="C152" s="19">
        <v>2020</v>
      </c>
      <c r="D152" s="38">
        <v>20100192064</v>
      </c>
      <c r="E152" s="14" t="s">
        <v>23</v>
      </c>
      <c r="F152" s="15" t="s">
        <v>24</v>
      </c>
      <c r="G152" s="16" t="str">
        <f t="shared" si="21"/>
        <v>C Industria manufacturera</v>
      </c>
      <c r="H152" s="14" t="str">
        <f t="shared" si="18"/>
        <v>25</v>
      </c>
      <c r="I152" s="17" t="s">
        <v>90</v>
      </c>
      <c r="J152" s="17" t="str">
        <f t="shared" si="19"/>
        <v>25 Fabricación de productos elaborados de metal, excepto maquinaria y equipo</v>
      </c>
      <c r="K152" s="14" t="str">
        <f t="shared" si="22"/>
        <v>259</v>
      </c>
      <c r="L152" s="15" t="s">
        <v>91</v>
      </c>
      <c r="M152" s="18" t="s">
        <v>92</v>
      </c>
      <c r="N152" s="15" t="s">
        <v>93</v>
      </c>
      <c r="O152" s="16" t="str">
        <f t="shared" si="20"/>
        <v>2591 Forja, prensado, estampado y laminado de metales; pulvimetalurgia</v>
      </c>
      <c r="P152" s="10">
        <v>10435.290000000001</v>
      </c>
    </row>
    <row r="153" spans="2:16" s="12" customFormat="1" ht="36" x14ac:dyDescent="0.25">
      <c r="B153" s="13" t="s">
        <v>264</v>
      </c>
      <c r="C153" s="19">
        <v>2021</v>
      </c>
      <c r="D153" s="38">
        <v>20100192064</v>
      </c>
      <c r="E153" s="14" t="s">
        <v>23</v>
      </c>
      <c r="F153" s="15" t="s">
        <v>24</v>
      </c>
      <c r="G153" s="16" t="str">
        <f t="shared" si="21"/>
        <v>C Industria manufacturera</v>
      </c>
      <c r="H153" s="14" t="str">
        <f t="shared" si="18"/>
        <v>25</v>
      </c>
      <c r="I153" s="17" t="s">
        <v>90</v>
      </c>
      <c r="J153" s="17" t="str">
        <f t="shared" si="19"/>
        <v>25 Fabricación de productos elaborados de metal, excepto maquinaria y equipo</v>
      </c>
      <c r="K153" s="14" t="str">
        <f t="shared" si="22"/>
        <v>259</v>
      </c>
      <c r="L153" s="15" t="s">
        <v>91</v>
      </c>
      <c r="M153" s="18" t="s">
        <v>92</v>
      </c>
      <c r="N153" s="15" t="s">
        <v>93</v>
      </c>
      <c r="O153" s="16" t="str">
        <f t="shared" si="20"/>
        <v>2591 Forja, prensado, estampado y laminado de metales; pulvimetalurgia</v>
      </c>
      <c r="P153" s="10">
        <v>5821.82</v>
      </c>
    </row>
    <row r="154" spans="2:16" s="12" customFormat="1" ht="36" x14ac:dyDescent="0.25">
      <c r="B154" s="13" t="s">
        <v>264</v>
      </c>
      <c r="C154" s="19">
        <v>2022</v>
      </c>
      <c r="D154" s="38">
        <v>20100192064</v>
      </c>
      <c r="E154" s="14" t="s">
        <v>23</v>
      </c>
      <c r="F154" s="15" t="s">
        <v>24</v>
      </c>
      <c r="G154" s="16" t="str">
        <f t="shared" si="21"/>
        <v>C Industria manufacturera</v>
      </c>
      <c r="H154" s="14" t="str">
        <f t="shared" si="18"/>
        <v>25</v>
      </c>
      <c r="I154" s="17" t="s">
        <v>90</v>
      </c>
      <c r="J154" s="17" t="str">
        <f t="shared" si="19"/>
        <v>25 Fabricación de productos elaborados de metal, excepto maquinaria y equipo</v>
      </c>
      <c r="K154" s="14" t="str">
        <f t="shared" si="22"/>
        <v>259</v>
      </c>
      <c r="L154" s="15" t="s">
        <v>91</v>
      </c>
      <c r="M154" s="18" t="s">
        <v>92</v>
      </c>
      <c r="N154" s="15" t="s">
        <v>93</v>
      </c>
      <c r="O154" s="16" t="str">
        <f t="shared" si="20"/>
        <v>2591 Forja, prensado, estampado y laminado de metales; pulvimetalurgia</v>
      </c>
      <c r="P154" s="10">
        <v>1870056.22</v>
      </c>
    </row>
    <row r="155" spans="2:16" s="12" customFormat="1" ht="36" x14ac:dyDescent="0.25">
      <c r="B155" s="13" t="s">
        <v>264</v>
      </c>
      <c r="C155" s="19">
        <v>2023</v>
      </c>
      <c r="D155" s="38">
        <v>20100192064</v>
      </c>
      <c r="E155" s="14" t="s">
        <v>23</v>
      </c>
      <c r="F155" s="15" t="s">
        <v>24</v>
      </c>
      <c r="G155" s="16" t="str">
        <f t="shared" si="21"/>
        <v>C Industria manufacturera</v>
      </c>
      <c r="H155" s="14" t="str">
        <f t="shared" si="18"/>
        <v>25</v>
      </c>
      <c r="I155" s="17" t="s">
        <v>90</v>
      </c>
      <c r="J155" s="17" t="str">
        <f t="shared" si="19"/>
        <v>25 Fabricación de productos elaborados de metal, excepto maquinaria y equipo</v>
      </c>
      <c r="K155" s="14" t="str">
        <f t="shared" si="22"/>
        <v>259</v>
      </c>
      <c r="L155" s="15" t="s">
        <v>91</v>
      </c>
      <c r="M155" s="18" t="s">
        <v>92</v>
      </c>
      <c r="N155" s="15" t="s">
        <v>93</v>
      </c>
      <c r="O155" s="16" t="str">
        <f t="shared" si="20"/>
        <v>2591 Forja, prensado, estampado y laminado de metales; pulvimetalurgia</v>
      </c>
      <c r="P155" s="10">
        <v>904703.47</v>
      </c>
    </row>
    <row r="156" spans="2:16" s="12" customFormat="1" ht="36" x14ac:dyDescent="0.25">
      <c r="B156" s="13" t="s">
        <v>264</v>
      </c>
      <c r="C156" s="19">
        <v>2024</v>
      </c>
      <c r="D156" s="38">
        <v>20100192064</v>
      </c>
      <c r="E156" s="14" t="s">
        <v>23</v>
      </c>
      <c r="F156" s="15" t="s">
        <v>24</v>
      </c>
      <c r="G156" s="16" t="str">
        <f t="shared" si="21"/>
        <v>C Industria manufacturera</v>
      </c>
      <c r="H156" s="14" t="str">
        <f t="shared" si="18"/>
        <v>25</v>
      </c>
      <c r="I156" s="17" t="s">
        <v>90</v>
      </c>
      <c r="J156" s="17" t="str">
        <f t="shared" si="19"/>
        <v>25 Fabricación de productos elaborados de metal, excepto maquinaria y equipo</v>
      </c>
      <c r="K156" s="14" t="str">
        <f t="shared" si="22"/>
        <v>259</v>
      </c>
      <c r="L156" s="15" t="s">
        <v>91</v>
      </c>
      <c r="M156" s="18" t="s">
        <v>92</v>
      </c>
      <c r="N156" s="15" t="s">
        <v>93</v>
      </c>
      <c r="O156" s="16" t="str">
        <f t="shared" si="20"/>
        <v>2591 Forja, prensado, estampado y laminado de metales; pulvimetalurgia</v>
      </c>
      <c r="P156" s="10">
        <v>474556.44</v>
      </c>
    </row>
    <row r="157" spans="2:16" s="12" customFormat="1" ht="36" x14ac:dyDescent="0.25">
      <c r="B157" s="13" t="s">
        <v>142</v>
      </c>
      <c r="C157" s="19">
        <v>2010</v>
      </c>
      <c r="D157" s="38">
        <v>20100193117</v>
      </c>
      <c r="E157" s="14" t="s">
        <v>42</v>
      </c>
      <c r="F157" s="15" t="s">
        <v>43</v>
      </c>
      <c r="G157" s="16" t="str">
        <f t="shared" si="21"/>
        <v>G Comercio al por mayor y al por menor; reparación de vehículos automotores y motocicletas</v>
      </c>
      <c r="H157" s="14" t="str">
        <f t="shared" si="18"/>
        <v>46</v>
      </c>
      <c r="I157" s="17" t="s">
        <v>44</v>
      </c>
      <c r="J157" s="17" t="str">
        <f t="shared" si="19"/>
        <v>46 Comercio al por mayor, excepto el de vehículos automotores y motocicletas</v>
      </c>
      <c r="K157" s="14" t="str">
        <f t="shared" si="22"/>
        <v>469</v>
      </c>
      <c r="L157" s="15" t="s">
        <v>45</v>
      </c>
      <c r="M157" s="18" t="s">
        <v>46</v>
      </c>
      <c r="N157" s="15" t="s">
        <v>45</v>
      </c>
      <c r="O157" s="16" t="str">
        <f t="shared" si="20"/>
        <v>4690 Venta al por mayor no especializada</v>
      </c>
      <c r="P157" s="10">
        <v>118408.77</v>
      </c>
    </row>
    <row r="158" spans="2:16" s="12" customFormat="1" x14ac:dyDescent="0.25">
      <c r="B158" s="13" t="s">
        <v>228</v>
      </c>
      <c r="C158" s="19">
        <v>2016</v>
      </c>
      <c r="D158" s="38">
        <v>20100277485</v>
      </c>
      <c r="E158" s="14" t="s">
        <v>23</v>
      </c>
      <c r="F158" s="15" t="s">
        <v>24</v>
      </c>
      <c r="G158" s="16" t="str">
        <f t="shared" si="21"/>
        <v>C Industria manufacturera</v>
      </c>
      <c r="H158" s="14" t="str">
        <f t="shared" si="18"/>
        <v>24</v>
      </c>
      <c r="I158" s="17" t="s">
        <v>229</v>
      </c>
      <c r="J158" s="17" t="str">
        <f t="shared" si="19"/>
        <v>24 Fabricación de metales comunes</v>
      </c>
      <c r="K158" s="14" t="str">
        <f t="shared" si="22"/>
        <v>243</v>
      </c>
      <c r="L158" s="15" t="s">
        <v>230</v>
      </c>
      <c r="M158" s="18" t="s">
        <v>231</v>
      </c>
      <c r="N158" s="15" t="s">
        <v>232</v>
      </c>
      <c r="O158" s="16" t="str">
        <f t="shared" si="20"/>
        <v>2432 Fundición de metales no ferrosos</v>
      </c>
      <c r="P158" s="10">
        <v>5023.75</v>
      </c>
    </row>
    <row r="159" spans="2:16" s="12" customFormat="1" x14ac:dyDescent="0.25">
      <c r="B159" s="13" t="s">
        <v>228</v>
      </c>
      <c r="C159" s="19">
        <v>2017</v>
      </c>
      <c r="D159" s="38">
        <v>20100277485</v>
      </c>
      <c r="E159" s="14" t="s">
        <v>23</v>
      </c>
      <c r="F159" s="15" t="s">
        <v>24</v>
      </c>
      <c r="G159" s="16" t="str">
        <f t="shared" si="21"/>
        <v>C Industria manufacturera</v>
      </c>
      <c r="H159" s="14" t="str">
        <f t="shared" si="18"/>
        <v>24</v>
      </c>
      <c r="I159" s="17" t="s">
        <v>229</v>
      </c>
      <c r="J159" s="17" t="str">
        <f t="shared" si="19"/>
        <v>24 Fabricación de metales comunes</v>
      </c>
      <c r="K159" s="14" t="str">
        <f t="shared" si="22"/>
        <v>243</v>
      </c>
      <c r="L159" s="15" t="s">
        <v>230</v>
      </c>
      <c r="M159" s="18" t="s">
        <v>231</v>
      </c>
      <c r="N159" s="15" t="s">
        <v>232</v>
      </c>
      <c r="O159" s="16" t="str">
        <f t="shared" si="20"/>
        <v>2432 Fundición de metales no ferrosos</v>
      </c>
      <c r="P159" s="10">
        <v>86439.88</v>
      </c>
    </row>
    <row r="160" spans="2:16" s="12" customFormat="1" x14ac:dyDescent="0.25">
      <c r="B160" s="13" t="s">
        <v>228</v>
      </c>
      <c r="C160" s="19">
        <v>2018</v>
      </c>
      <c r="D160" s="38">
        <v>20100277485</v>
      </c>
      <c r="E160" s="14" t="s">
        <v>23</v>
      </c>
      <c r="F160" s="15" t="s">
        <v>24</v>
      </c>
      <c r="G160" s="16" t="str">
        <f t="shared" si="21"/>
        <v>C Industria manufacturera</v>
      </c>
      <c r="H160" s="14" t="str">
        <f t="shared" si="18"/>
        <v>24</v>
      </c>
      <c r="I160" s="17" t="s">
        <v>229</v>
      </c>
      <c r="J160" s="17" t="str">
        <f t="shared" si="19"/>
        <v>24 Fabricación de metales comunes</v>
      </c>
      <c r="K160" s="14" t="str">
        <f t="shared" si="22"/>
        <v>243</v>
      </c>
      <c r="L160" s="15" t="s">
        <v>230</v>
      </c>
      <c r="M160" s="18" t="s">
        <v>231</v>
      </c>
      <c r="N160" s="15" t="s">
        <v>232</v>
      </c>
      <c r="O160" s="16" t="str">
        <f t="shared" si="20"/>
        <v>2432 Fundición de metales no ferrosos</v>
      </c>
      <c r="P160" s="10">
        <v>4282.09</v>
      </c>
    </row>
    <row r="161" spans="1:16" s="12" customFormat="1" x14ac:dyDescent="0.25">
      <c r="B161" s="13" t="s">
        <v>228</v>
      </c>
      <c r="C161" s="19">
        <v>2019</v>
      </c>
      <c r="D161" s="38">
        <v>20100277485</v>
      </c>
      <c r="E161" s="14" t="s">
        <v>23</v>
      </c>
      <c r="F161" s="15" t="s">
        <v>24</v>
      </c>
      <c r="G161" s="16" t="str">
        <f t="shared" si="21"/>
        <v>C Industria manufacturera</v>
      </c>
      <c r="H161" s="14" t="str">
        <f t="shared" ref="H161:H192" si="23">LEFT(K161,2)</f>
        <v>24</v>
      </c>
      <c r="I161" s="17" t="s">
        <v>229</v>
      </c>
      <c r="J161" s="17" t="str">
        <f t="shared" si="19"/>
        <v>24 Fabricación de metales comunes</v>
      </c>
      <c r="K161" s="14" t="str">
        <f t="shared" si="22"/>
        <v>243</v>
      </c>
      <c r="L161" s="15" t="s">
        <v>230</v>
      </c>
      <c r="M161" s="18" t="s">
        <v>231</v>
      </c>
      <c r="N161" s="15" t="s">
        <v>232</v>
      </c>
      <c r="O161" s="16" t="str">
        <f t="shared" si="20"/>
        <v>2432 Fundición de metales no ferrosos</v>
      </c>
      <c r="P161" s="10">
        <v>410.6</v>
      </c>
    </row>
    <row r="162" spans="1:16" s="12" customFormat="1" x14ac:dyDescent="0.25">
      <c r="B162" s="13" t="s">
        <v>228</v>
      </c>
      <c r="C162" s="19">
        <v>2020</v>
      </c>
      <c r="D162" s="38">
        <v>20100277485</v>
      </c>
      <c r="E162" s="14" t="s">
        <v>23</v>
      </c>
      <c r="F162" s="15" t="s">
        <v>24</v>
      </c>
      <c r="G162" s="16" t="str">
        <f t="shared" si="21"/>
        <v>C Industria manufacturera</v>
      </c>
      <c r="H162" s="14" t="str">
        <f t="shared" si="23"/>
        <v>24</v>
      </c>
      <c r="I162" s="17" t="s">
        <v>229</v>
      </c>
      <c r="J162" s="17" t="str">
        <f t="shared" si="19"/>
        <v>24 Fabricación de metales comunes</v>
      </c>
      <c r="K162" s="14" t="str">
        <f t="shared" si="22"/>
        <v>243</v>
      </c>
      <c r="L162" s="15" t="s">
        <v>230</v>
      </c>
      <c r="M162" s="18" t="s">
        <v>231</v>
      </c>
      <c r="N162" s="15" t="s">
        <v>232</v>
      </c>
      <c r="O162" s="16" t="str">
        <f t="shared" si="20"/>
        <v>2432 Fundición de metales no ferrosos</v>
      </c>
      <c r="P162" s="10">
        <v>16639.57</v>
      </c>
    </row>
    <row r="163" spans="1:16" s="12" customFormat="1" x14ac:dyDescent="0.25">
      <c r="B163" s="13" t="s">
        <v>228</v>
      </c>
      <c r="C163" s="19">
        <v>2021</v>
      </c>
      <c r="D163" s="38">
        <v>20100277485</v>
      </c>
      <c r="E163" s="14" t="s">
        <v>23</v>
      </c>
      <c r="F163" s="15" t="s">
        <v>24</v>
      </c>
      <c r="G163" s="16" t="str">
        <f t="shared" si="21"/>
        <v>C Industria manufacturera</v>
      </c>
      <c r="H163" s="14" t="str">
        <f t="shared" si="23"/>
        <v>24</v>
      </c>
      <c r="I163" s="17" t="s">
        <v>229</v>
      </c>
      <c r="J163" s="17" t="str">
        <f t="shared" si="19"/>
        <v>24 Fabricación de metales comunes</v>
      </c>
      <c r="K163" s="14" t="str">
        <f t="shared" si="22"/>
        <v>243</v>
      </c>
      <c r="L163" s="15" t="s">
        <v>230</v>
      </c>
      <c r="M163" s="18" t="s">
        <v>231</v>
      </c>
      <c r="N163" s="15" t="s">
        <v>232</v>
      </c>
      <c r="O163" s="16" t="str">
        <f t="shared" si="20"/>
        <v>2432 Fundición de metales no ferrosos</v>
      </c>
      <c r="P163" s="10">
        <v>62094.82</v>
      </c>
    </row>
    <row r="164" spans="1:16" s="12" customFormat="1" x14ac:dyDescent="0.25">
      <c r="B164" s="13" t="s">
        <v>228</v>
      </c>
      <c r="C164" s="19">
        <v>2022</v>
      </c>
      <c r="D164" s="38">
        <v>20100277485</v>
      </c>
      <c r="E164" s="14" t="s">
        <v>23</v>
      </c>
      <c r="F164" s="15" t="s">
        <v>24</v>
      </c>
      <c r="G164" s="16" t="str">
        <f t="shared" si="21"/>
        <v>C Industria manufacturera</v>
      </c>
      <c r="H164" s="14" t="str">
        <f t="shared" si="23"/>
        <v>24</v>
      </c>
      <c r="I164" s="17" t="s">
        <v>229</v>
      </c>
      <c r="J164" s="17" t="str">
        <f t="shared" si="19"/>
        <v>24 Fabricación de metales comunes</v>
      </c>
      <c r="K164" s="14" t="str">
        <f t="shared" si="22"/>
        <v>243</v>
      </c>
      <c r="L164" s="15" t="s">
        <v>230</v>
      </c>
      <c r="M164" s="18" t="s">
        <v>231</v>
      </c>
      <c r="N164" s="15" t="s">
        <v>232</v>
      </c>
      <c r="O164" s="16" t="str">
        <f t="shared" si="20"/>
        <v>2432 Fundición de metales no ferrosos</v>
      </c>
      <c r="P164" s="10">
        <v>14224.66</v>
      </c>
    </row>
    <row r="165" spans="1:16" s="12" customFormat="1" x14ac:dyDescent="0.25">
      <c r="A165" s="12">
        <v>15</v>
      </c>
      <c r="B165" s="13" t="s">
        <v>228</v>
      </c>
      <c r="C165" s="19">
        <v>2025</v>
      </c>
      <c r="D165" s="38">
        <v>20100277485</v>
      </c>
      <c r="E165" s="14" t="s">
        <v>23</v>
      </c>
      <c r="F165" s="15" t="s">
        <v>24</v>
      </c>
      <c r="G165" s="16" t="str">
        <f t="shared" si="21"/>
        <v>C Industria manufacturera</v>
      </c>
      <c r="H165" s="14" t="str">
        <f t="shared" si="23"/>
        <v>24</v>
      </c>
      <c r="I165" s="17" t="s">
        <v>229</v>
      </c>
      <c r="J165" s="17" t="str">
        <f t="shared" si="19"/>
        <v>24 Fabricación de metales comunes</v>
      </c>
      <c r="K165" s="14" t="str">
        <f t="shared" si="22"/>
        <v>243</v>
      </c>
      <c r="L165" s="15" t="s">
        <v>230</v>
      </c>
      <c r="M165" s="18" t="s">
        <v>231</v>
      </c>
      <c r="N165" s="15" t="s">
        <v>232</v>
      </c>
      <c r="O165" s="16" t="str">
        <f t="shared" si="20"/>
        <v>2432 Fundición de metales no ferrosos</v>
      </c>
      <c r="P165" s="10">
        <v>208839.11</v>
      </c>
    </row>
    <row r="166" spans="1:16" s="12" customFormat="1" ht="36" x14ac:dyDescent="0.25">
      <c r="B166" s="13" t="s">
        <v>303</v>
      </c>
      <c r="C166" s="19">
        <v>2022</v>
      </c>
      <c r="D166" s="38">
        <v>20100300053</v>
      </c>
      <c r="E166" s="14" t="s">
        <v>23</v>
      </c>
      <c r="F166" s="15" t="s">
        <v>24</v>
      </c>
      <c r="G166" s="16" t="str">
        <f t="shared" si="21"/>
        <v>C Industria manufacturera</v>
      </c>
      <c r="H166" s="14" t="str">
        <f t="shared" si="23"/>
        <v>46</v>
      </c>
      <c r="I166" s="17" t="s">
        <v>168</v>
      </c>
      <c r="J166" s="17" t="str">
        <f t="shared" si="19"/>
        <v>46 Elaboración de productos alimenticios</v>
      </c>
      <c r="K166" s="14" t="str">
        <f t="shared" si="22"/>
        <v>469</v>
      </c>
      <c r="L166" s="15" t="s">
        <v>169</v>
      </c>
      <c r="M166" s="18" t="s">
        <v>46</v>
      </c>
      <c r="N166" s="15" t="s">
        <v>45</v>
      </c>
      <c r="O166" s="16" t="str">
        <f t="shared" si="20"/>
        <v>4690 Venta al por mayor no especializada</v>
      </c>
      <c r="P166" s="10">
        <v>1076.47</v>
      </c>
    </row>
    <row r="167" spans="1:16" s="12" customFormat="1" ht="24" x14ac:dyDescent="0.25">
      <c r="B167" s="13" t="s">
        <v>105</v>
      </c>
      <c r="C167" s="19">
        <v>2007</v>
      </c>
      <c r="D167" s="38">
        <v>20100320755</v>
      </c>
      <c r="E167" s="14" t="s">
        <v>16</v>
      </c>
      <c r="F167" s="15" t="s">
        <v>17</v>
      </c>
      <c r="G167" s="16" t="str">
        <f t="shared" si="21"/>
        <v>B Explotación de minas y canteras</v>
      </c>
      <c r="H167" s="14" t="str">
        <f t="shared" si="23"/>
        <v>07</v>
      </c>
      <c r="I167" s="17" t="s">
        <v>18</v>
      </c>
      <c r="J167" s="17" t="str">
        <f t="shared" si="19"/>
        <v>07 Extracción de minerales metalíferos</v>
      </c>
      <c r="K167" s="14" t="str">
        <f t="shared" si="22"/>
        <v>072</v>
      </c>
      <c r="L167" s="15" t="s">
        <v>19</v>
      </c>
      <c r="M167" s="18" t="s">
        <v>20</v>
      </c>
      <c r="N167" s="15" t="s">
        <v>21</v>
      </c>
      <c r="O167" s="16" t="str">
        <f t="shared" si="20"/>
        <v>0729 Extracción de otros minerales metalíferos no ferrosos</v>
      </c>
      <c r="P167" s="10">
        <v>2220158.3199999998</v>
      </c>
    </row>
    <row r="168" spans="1:16" s="12" customFormat="1" ht="36" x14ac:dyDescent="0.25">
      <c r="B168" s="13" t="s">
        <v>278</v>
      </c>
      <c r="C168" s="19">
        <v>2021</v>
      </c>
      <c r="D168" s="38">
        <v>20100617332</v>
      </c>
      <c r="E168" s="14" t="s">
        <v>23</v>
      </c>
      <c r="F168" s="15" t="s">
        <v>24</v>
      </c>
      <c r="G168" s="16" t="str">
        <f t="shared" si="21"/>
        <v>C Industria manufacturera</v>
      </c>
      <c r="H168" s="14" t="str">
        <f t="shared" si="23"/>
        <v>10</v>
      </c>
      <c r="I168" s="17" t="s">
        <v>168</v>
      </c>
      <c r="J168" s="17" t="str">
        <f t="shared" si="19"/>
        <v>10 Elaboración de productos alimenticios</v>
      </c>
      <c r="K168" s="14" t="str">
        <f t="shared" si="22"/>
        <v>108</v>
      </c>
      <c r="L168" s="15" t="s">
        <v>169</v>
      </c>
      <c r="M168" s="18" t="s">
        <v>279</v>
      </c>
      <c r="N168" s="15" t="s">
        <v>280</v>
      </c>
      <c r="O168" s="16" t="str">
        <f t="shared" si="20"/>
        <v>1080 Elaboración de piensos preparados para animales</v>
      </c>
      <c r="P168" s="10">
        <v>1088288.6000000001</v>
      </c>
    </row>
    <row r="169" spans="1:16" s="12" customFormat="1" ht="36" x14ac:dyDescent="0.25">
      <c r="B169" s="13" t="s">
        <v>278</v>
      </c>
      <c r="C169" s="19">
        <v>2022</v>
      </c>
      <c r="D169" s="38">
        <v>20100617332</v>
      </c>
      <c r="E169" s="14" t="s">
        <v>23</v>
      </c>
      <c r="F169" s="15" t="s">
        <v>24</v>
      </c>
      <c r="G169" s="16" t="str">
        <f t="shared" si="21"/>
        <v>C Industria manufacturera</v>
      </c>
      <c r="H169" s="14" t="str">
        <f t="shared" si="23"/>
        <v>10</v>
      </c>
      <c r="I169" s="17" t="s">
        <v>168</v>
      </c>
      <c r="J169" s="17" t="str">
        <f t="shared" si="19"/>
        <v>10 Elaboración de productos alimenticios</v>
      </c>
      <c r="K169" s="14" t="str">
        <f t="shared" si="22"/>
        <v>108</v>
      </c>
      <c r="L169" s="15" t="s">
        <v>169</v>
      </c>
      <c r="M169" s="18" t="s">
        <v>279</v>
      </c>
      <c r="N169" s="15" t="s">
        <v>280</v>
      </c>
      <c r="O169" s="16" t="str">
        <f t="shared" si="20"/>
        <v>1080 Elaboración de piensos preparados para animales</v>
      </c>
      <c r="P169" s="10">
        <v>356631.42</v>
      </c>
    </row>
    <row r="170" spans="1:16" s="12" customFormat="1" ht="36" x14ac:dyDescent="0.25">
      <c r="B170" s="13" t="s">
        <v>278</v>
      </c>
      <c r="C170" s="19">
        <v>2023</v>
      </c>
      <c r="D170" s="38">
        <v>20100617332</v>
      </c>
      <c r="E170" s="14" t="s">
        <v>23</v>
      </c>
      <c r="F170" s="15" t="s">
        <v>24</v>
      </c>
      <c r="G170" s="16" t="str">
        <f t="shared" si="21"/>
        <v>C Industria manufacturera</v>
      </c>
      <c r="H170" s="14" t="str">
        <f t="shared" si="23"/>
        <v>10</v>
      </c>
      <c r="I170" s="17" t="s">
        <v>168</v>
      </c>
      <c r="J170" s="17" t="str">
        <f t="shared" si="19"/>
        <v>10 Elaboración de productos alimenticios</v>
      </c>
      <c r="K170" s="14" t="str">
        <f t="shared" si="22"/>
        <v>108</v>
      </c>
      <c r="L170" s="15" t="s">
        <v>169</v>
      </c>
      <c r="M170" s="18" t="s">
        <v>279</v>
      </c>
      <c r="N170" s="15" t="s">
        <v>280</v>
      </c>
      <c r="O170" s="16" t="str">
        <f t="shared" si="20"/>
        <v>1080 Elaboración de piensos preparados para animales</v>
      </c>
      <c r="P170" s="10">
        <v>26679.46</v>
      </c>
    </row>
    <row r="171" spans="1:16" s="12" customFormat="1" ht="36" x14ac:dyDescent="0.25">
      <c r="B171" s="13" t="s">
        <v>278</v>
      </c>
      <c r="C171" s="19">
        <v>2024</v>
      </c>
      <c r="D171" s="38">
        <v>20100617332</v>
      </c>
      <c r="E171" s="14" t="s">
        <v>23</v>
      </c>
      <c r="F171" s="15" t="s">
        <v>24</v>
      </c>
      <c r="G171" s="16" t="str">
        <f t="shared" si="21"/>
        <v>C Industria manufacturera</v>
      </c>
      <c r="H171" s="14" t="str">
        <f t="shared" si="23"/>
        <v>10</v>
      </c>
      <c r="I171" s="17" t="s">
        <v>168</v>
      </c>
      <c r="J171" s="17" t="str">
        <f t="shared" si="19"/>
        <v>10 Elaboración de productos alimenticios</v>
      </c>
      <c r="K171" s="14" t="str">
        <f t="shared" si="22"/>
        <v>108</v>
      </c>
      <c r="L171" s="15" t="s">
        <v>169</v>
      </c>
      <c r="M171" s="18" t="s">
        <v>279</v>
      </c>
      <c r="N171" s="15" t="s">
        <v>280</v>
      </c>
      <c r="O171" s="16" t="str">
        <f t="shared" si="20"/>
        <v>1080 Elaboración de piensos preparados para animales</v>
      </c>
      <c r="P171" s="10">
        <v>1035900.4</v>
      </c>
    </row>
    <row r="172" spans="1:16" s="12" customFormat="1" ht="36" x14ac:dyDescent="0.25">
      <c r="A172" s="12">
        <v>11</v>
      </c>
      <c r="B172" s="13" t="s">
        <v>278</v>
      </c>
      <c r="C172" s="19">
        <v>2025</v>
      </c>
      <c r="D172" s="38">
        <v>20100617332</v>
      </c>
      <c r="E172" s="14" t="s">
        <v>23</v>
      </c>
      <c r="F172" s="15" t="s">
        <v>24</v>
      </c>
      <c r="G172" s="16" t="str">
        <f t="shared" si="21"/>
        <v>C Industria manufacturera</v>
      </c>
      <c r="H172" s="14" t="str">
        <f t="shared" si="23"/>
        <v>10</v>
      </c>
      <c r="I172" s="17" t="s">
        <v>168</v>
      </c>
      <c r="J172" s="17" t="str">
        <f t="shared" si="19"/>
        <v>10 Elaboración de productos alimenticios</v>
      </c>
      <c r="K172" s="14" t="str">
        <f t="shared" si="22"/>
        <v>108</v>
      </c>
      <c r="L172" s="15" t="s">
        <v>169</v>
      </c>
      <c r="M172" s="18" t="s">
        <v>279</v>
      </c>
      <c r="N172" s="15" t="s">
        <v>280</v>
      </c>
      <c r="O172" s="16" t="str">
        <f t="shared" si="20"/>
        <v>1080 Elaboración de piensos preparados para animales</v>
      </c>
      <c r="P172" s="10">
        <v>1243522.5900000001</v>
      </c>
    </row>
    <row r="173" spans="1:16" s="12" customFormat="1" ht="36" x14ac:dyDescent="0.25">
      <c r="B173" s="13" t="s">
        <v>285</v>
      </c>
      <c r="C173" s="19">
        <v>2021</v>
      </c>
      <c r="D173" s="38">
        <v>20101022944</v>
      </c>
      <c r="E173" s="14" t="s">
        <v>23</v>
      </c>
      <c r="F173" s="15" t="s">
        <v>24</v>
      </c>
      <c r="G173" s="16" t="str">
        <f t="shared" si="21"/>
        <v>C Industria manufacturera</v>
      </c>
      <c r="H173" s="14" t="str">
        <f t="shared" si="23"/>
        <v>25</v>
      </c>
      <c r="I173" s="17" t="s">
        <v>90</v>
      </c>
      <c r="J173" s="17" t="str">
        <f t="shared" si="19"/>
        <v>25 Fabricación de productos elaborados de metal, excepto maquinaria y equipo</v>
      </c>
      <c r="K173" s="14" t="str">
        <f t="shared" si="22"/>
        <v>259</v>
      </c>
      <c r="L173" s="15" t="s">
        <v>91</v>
      </c>
      <c r="M173" s="18" t="s">
        <v>92</v>
      </c>
      <c r="N173" s="15" t="s">
        <v>93</v>
      </c>
      <c r="O173" s="16" t="str">
        <f t="shared" si="20"/>
        <v>2591 Forja, prensado, estampado y laminado de metales; pulvimetalurgia</v>
      </c>
      <c r="P173" s="10">
        <v>52401.78</v>
      </c>
    </row>
    <row r="174" spans="1:16" s="12" customFormat="1" ht="24" x14ac:dyDescent="0.25">
      <c r="B174" s="13" t="s">
        <v>217</v>
      </c>
      <c r="C174" s="19">
        <v>2016</v>
      </c>
      <c r="D174" s="38">
        <v>20101045995</v>
      </c>
      <c r="E174" s="14" t="s">
        <v>218</v>
      </c>
      <c r="F174" s="15" t="s">
        <v>219</v>
      </c>
      <c r="G174" s="16" t="str">
        <f t="shared" si="21"/>
        <v>L Actividades inmobiliarias</v>
      </c>
      <c r="H174" s="14" t="str">
        <f t="shared" si="23"/>
        <v>68</v>
      </c>
      <c r="I174" s="17" t="s">
        <v>219</v>
      </c>
      <c r="J174" s="17" t="str">
        <f t="shared" si="19"/>
        <v>68 Actividades inmobiliarias</v>
      </c>
      <c r="K174" s="14" t="str">
        <f t="shared" si="22"/>
        <v>681</v>
      </c>
      <c r="L174" s="15" t="s">
        <v>220</v>
      </c>
      <c r="M174" s="18" t="s">
        <v>221</v>
      </c>
      <c r="N174" s="15" t="s">
        <v>220</v>
      </c>
      <c r="O174" s="16" t="str">
        <f t="shared" si="20"/>
        <v>6810 Actividades inmobiliarias realizadas con bienes propios o arrendados</v>
      </c>
      <c r="P174" s="10">
        <v>302055.51</v>
      </c>
    </row>
    <row r="175" spans="1:16" s="12" customFormat="1" ht="36" x14ac:dyDescent="0.25">
      <c r="B175" s="13" t="s">
        <v>174</v>
      </c>
      <c r="C175" s="19">
        <v>2013</v>
      </c>
      <c r="D175" s="38">
        <v>20101951872</v>
      </c>
      <c r="E175" s="14" t="s">
        <v>42</v>
      </c>
      <c r="F175" s="15" t="s">
        <v>43</v>
      </c>
      <c r="G175" s="16" t="str">
        <f t="shared" si="21"/>
        <v>G Comercio al por mayor y al por menor; reparación de vehículos automotores y motocicletas</v>
      </c>
      <c r="H175" s="14" t="str">
        <f t="shared" si="23"/>
        <v>47</v>
      </c>
      <c r="I175" s="17" t="s">
        <v>119</v>
      </c>
      <c r="J175" s="17" t="str">
        <f t="shared" si="19"/>
        <v>47 Comercio al por menor, excepto el de vehículos automotores y motocicletas</v>
      </c>
      <c r="K175" s="14" t="str">
        <f t="shared" si="22"/>
        <v>477</v>
      </c>
      <c r="L175" s="15" t="s">
        <v>120</v>
      </c>
      <c r="M175" s="18" t="s">
        <v>175</v>
      </c>
      <c r="N175" s="15" t="s">
        <v>176</v>
      </c>
      <c r="O175" s="16" t="str">
        <f t="shared" si="20"/>
        <v>4771 Venta al por menor de prendas de vestir, calzado y artículos de cuero en comercios especializados</v>
      </c>
      <c r="P175" s="10">
        <v>1124979.49</v>
      </c>
    </row>
    <row r="176" spans="1:16" s="12" customFormat="1" ht="36" x14ac:dyDescent="0.25">
      <c r="B176" s="13" t="s">
        <v>174</v>
      </c>
      <c r="C176" s="19">
        <v>2014</v>
      </c>
      <c r="D176" s="38">
        <v>20101951872</v>
      </c>
      <c r="E176" s="14" t="s">
        <v>42</v>
      </c>
      <c r="F176" s="15" t="s">
        <v>43</v>
      </c>
      <c r="G176" s="16" t="str">
        <f t="shared" si="21"/>
        <v>G Comercio al por mayor y al por menor; reparación de vehículos automotores y motocicletas</v>
      </c>
      <c r="H176" s="14" t="str">
        <f t="shared" si="23"/>
        <v>47</v>
      </c>
      <c r="I176" s="17" t="s">
        <v>119</v>
      </c>
      <c r="J176" s="17" t="str">
        <f t="shared" si="19"/>
        <v>47 Comercio al por menor, excepto el de vehículos automotores y motocicletas</v>
      </c>
      <c r="K176" s="14" t="str">
        <f t="shared" ref="K176:K207" si="24">LEFT(M176,3)</f>
        <v>477</v>
      </c>
      <c r="L176" s="15" t="s">
        <v>120</v>
      </c>
      <c r="M176" s="18" t="s">
        <v>175</v>
      </c>
      <c r="N176" s="15" t="s">
        <v>176</v>
      </c>
      <c r="O176" s="16" t="str">
        <f t="shared" si="20"/>
        <v>4771 Venta al por menor de prendas de vestir, calzado y artículos de cuero en comercios especializados</v>
      </c>
      <c r="P176" s="10">
        <v>1174264.74</v>
      </c>
    </row>
    <row r="177" spans="1:16" s="12" customFormat="1" ht="36" x14ac:dyDescent="0.25">
      <c r="B177" s="13" t="s">
        <v>174</v>
      </c>
      <c r="C177" s="19">
        <v>2014</v>
      </c>
      <c r="D177" s="38">
        <v>20101951872</v>
      </c>
      <c r="E177" s="14" t="s">
        <v>42</v>
      </c>
      <c r="F177" s="15" t="s">
        <v>43</v>
      </c>
      <c r="G177" s="16" t="str">
        <f t="shared" si="21"/>
        <v>G Comercio al por mayor y al por menor; reparación de vehículos automotores y motocicletas</v>
      </c>
      <c r="H177" s="14" t="str">
        <f t="shared" si="23"/>
        <v>47</v>
      </c>
      <c r="I177" s="17" t="s">
        <v>119</v>
      </c>
      <c r="J177" s="17" t="str">
        <f t="shared" si="19"/>
        <v>47 Comercio al por menor, excepto el de vehículos automotores y motocicletas</v>
      </c>
      <c r="K177" s="14" t="str">
        <f t="shared" si="24"/>
        <v>477</v>
      </c>
      <c r="L177" s="15" t="s">
        <v>120</v>
      </c>
      <c r="M177" s="18" t="s">
        <v>175</v>
      </c>
      <c r="N177" s="15" t="s">
        <v>176</v>
      </c>
      <c r="O177" s="16" t="str">
        <f t="shared" si="20"/>
        <v>4771 Venta al por menor de prendas de vestir, calzado y artículos de cuero en comercios especializados</v>
      </c>
      <c r="P177" s="10">
        <v>122759.25</v>
      </c>
    </row>
    <row r="178" spans="1:16" s="12" customFormat="1" ht="36" x14ac:dyDescent="0.25">
      <c r="B178" s="13" t="s">
        <v>174</v>
      </c>
      <c r="C178" s="19">
        <v>2015</v>
      </c>
      <c r="D178" s="38">
        <v>20101951872</v>
      </c>
      <c r="E178" s="14" t="s">
        <v>42</v>
      </c>
      <c r="F178" s="15" t="s">
        <v>43</v>
      </c>
      <c r="G178" s="16" t="str">
        <f t="shared" si="21"/>
        <v>G Comercio al por mayor y al por menor; reparación de vehículos automotores y motocicletas</v>
      </c>
      <c r="H178" s="14" t="str">
        <f t="shared" si="23"/>
        <v>47</v>
      </c>
      <c r="I178" s="17" t="s">
        <v>119</v>
      </c>
      <c r="J178" s="17" t="str">
        <f t="shared" si="19"/>
        <v>47 Comercio al por menor, excepto el de vehículos automotores y motocicletas</v>
      </c>
      <c r="K178" s="14" t="str">
        <f t="shared" si="24"/>
        <v>477</v>
      </c>
      <c r="L178" s="15" t="s">
        <v>120</v>
      </c>
      <c r="M178" s="18" t="s">
        <v>175</v>
      </c>
      <c r="N178" s="15" t="s">
        <v>176</v>
      </c>
      <c r="O178" s="16" t="str">
        <f t="shared" si="20"/>
        <v>4771 Venta al por menor de prendas de vestir, calzado y artículos de cuero en comercios especializados</v>
      </c>
      <c r="P178" s="10">
        <v>581759.65</v>
      </c>
    </row>
    <row r="179" spans="1:16" s="12" customFormat="1" ht="36" x14ac:dyDescent="0.25">
      <c r="B179" s="13" t="s">
        <v>174</v>
      </c>
      <c r="C179" s="19">
        <v>2016</v>
      </c>
      <c r="D179" s="38">
        <v>20101951872</v>
      </c>
      <c r="E179" s="14" t="s">
        <v>42</v>
      </c>
      <c r="F179" s="15" t="s">
        <v>43</v>
      </c>
      <c r="G179" s="16" t="str">
        <f t="shared" si="21"/>
        <v>G Comercio al por mayor y al por menor; reparación de vehículos automotores y motocicletas</v>
      </c>
      <c r="H179" s="14" t="str">
        <f t="shared" si="23"/>
        <v>47</v>
      </c>
      <c r="I179" s="17" t="s">
        <v>119</v>
      </c>
      <c r="J179" s="17" t="str">
        <f t="shared" si="19"/>
        <v>47 Comercio al por menor, excepto el de vehículos automotores y motocicletas</v>
      </c>
      <c r="K179" s="14" t="str">
        <f t="shared" si="24"/>
        <v>477</v>
      </c>
      <c r="L179" s="15" t="s">
        <v>120</v>
      </c>
      <c r="M179" s="18" t="s">
        <v>175</v>
      </c>
      <c r="N179" s="15" t="s">
        <v>176</v>
      </c>
      <c r="O179" s="16" t="str">
        <f t="shared" si="20"/>
        <v>4771 Venta al por menor de prendas de vestir, calzado y artículos de cuero en comercios especializados</v>
      </c>
      <c r="P179" s="10">
        <v>636386.71</v>
      </c>
    </row>
    <row r="180" spans="1:16" s="12" customFormat="1" ht="36" x14ac:dyDescent="0.25">
      <c r="B180" s="13" t="s">
        <v>174</v>
      </c>
      <c r="C180" s="19">
        <v>2017</v>
      </c>
      <c r="D180" s="38">
        <v>20101951872</v>
      </c>
      <c r="E180" s="14" t="s">
        <v>42</v>
      </c>
      <c r="F180" s="15" t="s">
        <v>43</v>
      </c>
      <c r="G180" s="16" t="str">
        <f t="shared" si="21"/>
        <v>G Comercio al por mayor y al por menor; reparación de vehículos automotores y motocicletas</v>
      </c>
      <c r="H180" s="14" t="str">
        <f t="shared" si="23"/>
        <v>47</v>
      </c>
      <c r="I180" s="17" t="s">
        <v>119</v>
      </c>
      <c r="J180" s="17" t="str">
        <f t="shared" si="19"/>
        <v>47 Comercio al por menor, excepto el de vehículos automotores y motocicletas</v>
      </c>
      <c r="K180" s="14" t="str">
        <f t="shared" si="24"/>
        <v>477</v>
      </c>
      <c r="L180" s="15" t="s">
        <v>120</v>
      </c>
      <c r="M180" s="18" t="s">
        <v>175</v>
      </c>
      <c r="N180" s="15" t="s">
        <v>176</v>
      </c>
      <c r="O180" s="16" t="str">
        <f t="shared" si="20"/>
        <v>4771 Venta al por menor de prendas de vestir, calzado y artículos de cuero en comercios especializados</v>
      </c>
      <c r="P180" s="10">
        <v>1068307.08</v>
      </c>
    </row>
    <row r="181" spans="1:16" s="12" customFormat="1" ht="36" x14ac:dyDescent="0.25">
      <c r="B181" s="13" t="s">
        <v>174</v>
      </c>
      <c r="C181" s="19">
        <v>2018</v>
      </c>
      <c r="D181" s="38">
        <v>20101951872</v>
      </c>
      <c r="E181" s="14" t="s">
        <v>42</v>
      </c>
      <c r="F181" s="15" t="s">
        <v>43</v>
      </c>
      <c r="G181" s="16" t="str">
        <f t="shared" si="21"/>
        <v>G Comercio al por mayor y al por menor; reparación de vehículos automotores y motocicletas</v>
      </c>
      <c r="H181" s="14" t="str">
        <f t="shared" si="23"/>
        <v>47</v>
      </c>
      <c r="I181" s="17" t="s">
        <v>119</v>
      </c>
      <c r="J181" s="17" t="str">
        <f t="shared" si="19"/>
        <v>47 Comercio al por menor, excepto el de vehículos automotores y motocicletas</v>
      </c>
      <c r="K181" s="14" t="str">
        <f t="shared" si="24"/>
        <v>477</v>
      </c>
      <c r="L181" s="15" t="s">
        <v>120</v>
      </c>
      <c r="M181" s="18" t="s">
        <v>175</v>
      </c>
      <c r="N181" s="15" t="s">
        <v>176</v>
      </c>
      <c r="O181" s="16" t="str">
        <f t="shared" si="20"/>
        <v>4771 Venta al por menor de prendas de vestir, calzado y artículos de cuero en comercios especializados</v>
      </c>
      <c r="P181" s="10">
        <v>534266.81000000006</v>
      </c>
    </row>
    <row r="182" spans="1:16" s="12" customFormat="1" ht="36" x14ac:dyDescent="0.25">
      <c r="B182" s="13" t="s">
        <v>174</v>
      </c>
      <c r="C182" s="19">
        <v>2019</v>
      </c>
      <c r="D182" s="38">
        <v>20101951872</v>
      </c>
      <c r="E182" s="14" t="s">
        <v>42</v>
      </c>
      <c r="F182" s="15" t="s">
        <v>43</v>
      </c>
      <c r="G182" s="16" t="str">
        <f t="shared" si="21"/>
        <v>G Comercio al por mayor y al por menor; reparación de vehículos automotores y motocicletas</v>
      </c>
      <c r="H182" s="14" t="str">
        <f t="shared" si="23"/>
        <v>47</v>
      </c>
      <c r="I182" s="17" t="s">
        <v>119</v>
      </c>
      <c r="J182" s="17" t="str">
        <f t="shared" si="19"/>
        <v>47 Comercio al por menor, excepto el de vehículos automotores y motocicletas</v>
      </c>
      <c r="K182" s="14" t="str">
        <f t="shared" si="24"/>
        <v>477</v>
      </c>
      <c r="L182" s="15" t="s">
        <v>120</v>
      </c>
      <c r="M182" s="18" t="s">
        <v>175</v>
      </c>
      <c r="N182" s="15" t="s">
        <v>176</v>
      </c>
      <c r="O182" s="16" t="str">
        <f t="shared" si="20"/>
        <v>4771 Venta al por menor de prendas de vestir, calzado y artículos de cuero en comercios especializados</v>
      </c>
      <c r="P182" s="10">
        <v>271358.07</v>
      </c>
    </row>
    <row r="183" spans="1:16" s="35" customFormat="1" ht="36" x14ac:dyDescent="0.25">
      <c r="A183" s="12"/>
      <c r="B183" s="13" t="s">
        <v>174</v>
      </c>
      <c r="C183" s="19">
        <v>2020</v>
      </c>
      <c r="D183" s="38">
        <v>20101951872</v>
      </c>
      <c r="E183" s="14" t="s">
        <v>42</v>
      </c>
      <c r="F183" s="15" t="s">
        <v>43</v>
      </c>
      <c r="G183" s="16" t="str">
        <f t="shared" si="21"/>
        <v>G Comercio al por mayor y al por menor; reparación de vehículos automotores y motocicletas</v>
      </c>
      <c r="H183" s="14" t="str">
        <f t="shared" si="23"/>
        <v>47</v>
      </c>
      <c r="I183" s="17" t="s">
        <v>119</v>
      </c>
      <c r="J183" s="17" t="str">
        <f t="shared" si="19"/>
        <v>47 Comercio al por menor, excepto el de vehículos automotores y motocicletas</v>
      </c>
      <c r="K183" s="14" t="str">
        <f t="shared" si="24"/>
        <v>477</v>
      </c>
      <c r="L183" s="15" t="s">
        <v>120</v>
      </c>
      <c r="M183" s="18" t="s">
        <v>175</v>
      </c>
      <c r="N183" s="15" t="s">
        <v>176</v>
      </c>
      <c r="O183" s="16" t="str">
        <f t="shared" si="20"/>
        <v>4771 Venta al por menor de prendas de vestir, calzado y artículos de cuero en comercios especializados</v>
      </c>
      <c r="P183" s="10">
        <v>46155.92</v>
      </c>
    </row>
    <row r="184" spans="1:16" s="12" customFormat="1" ht="36" x14ac:dyDescent="0.25">
      <c r="B184" s="13" t="s">
        <v>174</v>
      </c>
      <c r="C184" s="19">
        <v>2023</v>
      </c>
      <c r="D184" s="38">
        <v>20101951872</v>
      </c>
      <c r="E184" s="14" t="s">
        <v>42</v>
      </c>
      <c r="F184" s="15" t="s">
        <v>43</v>
      </c>
      <c r="G184" s="16" t="str">
        <f t="shared" si="21"/>
        <v>G Comercio al por mayor y al por menor; reparación de vehículos automotores y motocicletas</v>
      </c>
      <c r="H184" s="14" t="str">
        <f t="shared" si="23"/>
        <v>47</v>
      </c>
      <c r="I184" s="17" t="s">
        <v>119</v>
      </c>
      <c r="J184" s="17" t="str">
        <f t="shared" si="19"/>
        <v>47 Comercio al por menor, excepto el de vehículos automotores y motocicletas</v>
      </c>
      <c r="K184" s="14" t="str">
        <f t="shared" si="24"/>
        <v>477</v>
      </c>
      <c r="L184" s="15" t="s">
        <v>120</v>
      </c>
      <c r="M184" s="18" t="s">
        <v>175</v>
      </c>
      <c r="N184" s="15" t="s">
        <v>176</v>
      </c>
      <c r="O184" s="16" t="str">
        <f t="shared" si="20"/>
        <v>4771 Venta al por menor de prendas de vestir, calzado y artículos de cuero en comercios especializados</v>
      </c>
      <c r="P184" s="10">
        <v>5028.43</v>
      </c>
    </row>
    <row r="185" spans="1:16" s="12" customFormat="1" ht="36" x14ac:dyDescent="0.25">
      <c r="B185" s="13" t="s">
        <v>174</v>
      </c>
      <c r="C185" s="19">
        <v>2024</v>
      </c>
      <c r="D185" s="38">
        <v>20101951872</v>
      </c>
      <c r="E185" s="14" t="s">
        <v>42</v>
      </c>
      <c r="F185" s="15" t="s">
        <v>43</v>
      </c>
      <c r="G185" s="16" t="str">
        <f t="shared" si="21"/>
        <v>G Comercio al por mayor y al por menor; reparación de vehículos automotores y motocicletas</v>
      </c>
      <c r="H185" s="14" t="str">
        <f t="shared" si="23"/>
        <v>47</v>
      </c>
      <c r="I185" s="17" t="s">
        <v>119</v>
      </c>
      <c r="J185" s="17" t="str">
        <f t="shared" si="19"/>
        <v>47 Comercio al por menor, excepto el de vehículos automotores y motocicletas</v>
      </c>
      <c r="K185" s="14" t="str">
        <f t="shared" si="24"/>
        <v>477</v>
      </c>
      <c r="L185" s="15" t="s">
        <v>120</v>
      </c>
      <c r="M185" s="18" t="s">
        <v>175</v>
      </c>
      <c r="N185" s="15" t="s">
        <v>176</v>
      </c>
      <c r="O185" s="16" t="str">
        <f t="shared" si="20"/>
        <v>4771 Venta al por menor de prendas de vestir, calzado y artículos de cuero en comercios especializados</v>
      </c>
      <c r="P185" s="10">
        <v>12189.51</v>
      </c>
    </row>
    <row r="186" spans="1:16" s="12" customFormat="1" ht="36" x14ac:dyDescent="0.25">
      <c r="B186" s="13" t="s">
        <v>270</v>
      </c>
      <c r="C186" s="19">
        <v>2019</v>
      </c>
      <c r="D186" s="38">
        <v>20103733015</v>
      </c>
      <c r="E186" s="14" t="s">
        <v>42</v>
      </c>
      <c r="F186" s="15" t="s">
        <v>43</v>
      </c>
      <c r="G186" s="16" t="str">
        <f t="shared" si="21"/>
        <v>G Comercio al por mayor y al por menor; reparación de vehículos automotores y motocicletas</v>
      </c>
      <c r="H186" s="14" t="str">
        <f t="shared" si="23"/>
        <v>45</v>
      </c>
      <c r="I186" s="17" t="s">
        <v>135</v>
      </c>
      <c r="J186" s="17" t="str">
        <f t="shared" si="19"/>
        <v>45 Comercio al por mayor y al por menor y reparación de vehículos automotores y motocicletas</v>
      </c>
      <c r="K186" s="14" t="str">
        <f t="shared" si="24"/>
        <v>451</v>
      </c>
      <c r="L186" s="15" t="s">
        <v>136</v>
      </c>
      <c r="M186" s="18" t="s">
        <v>137</v>
      </c>
      <c r="N186" s="15" t="s">
        <v>136</v>
      </c>
      <c r="O186" s="16" t="str">
        <f t="shared" si="20"/>
        <v>4510 Venta de vehículos automotores</v>
      </c>
      <c r="P186" s="10">
        <v>4921.53</v>
      </c>
    </row>
    <row r="187" spans="1:16" s="12" customFormat="1" ht="24" x14ac:dyDescent="0.25">
      <c r="B187" s="31" t="s">
        <v>52</v>
      </c>
      <c r="C187" s="32">
        <v>2001</v>
      </c>
      <c r="D187" s="37">
        <v>20106831140</v>
      </c>
      <c r="E187" s="33" t="s">
        <v>16</v>
      </c>
      <c r="F187" s="15" t="s">
        <v>17</v>
      </c>
      <c r="G187" s="16" t="str">
        <f t="shared" si="21"/>
        <v>B Explotación de minas y canteras</v>
      </c>
      <c r="H187" s="14" t="str">
        <f t="shared" si="23"/>
        <v>07</v>
      </c>
      <c r="I187" s="17" t="s">
        <v>18</v>
      </c>
      <c r="J187" s="17" t="str">
        <f t="shared" si="19"/>
        <v>07 Extracción de minerales metalíferos</v>
      </c>
      <c r="K187" s="14" t="str">
        <f t="shared" si="24"/>
        <v>072</v>
      </c>
      <c r="L187" s="15" t="s">
        <v>19</v>
      </c>
      <c r="M187" s="18" t="s">
        <v>20</v>
      </c>
      <c r="N187" s="15" t="s">
        <v>21</v>
      </c>
      <c r="O187" s="16" t="str">
        <f t="shared" si="20"/>
        <v>0729 Extracción de otros minerales metalíferos no ferrosos</v>
      </c>
      <c r="P187" s="34">
        <v>9258.76</v>
      </c>
    </row>
    <row r="188" spans="1:16" s="12" customFormat="1" ht="24" x14ac:dyDescent="0.25">
      <c r="B188" s="13" t="s">
        <v>80</v>
      </c>
      <c r="C188" s="19">
        <v>2006</v>
      </c>
      <c r="D188" s="38">
        <v>20107290177</v>
      </c>
      <c r="E188" s="14" t="s">
        <v>16</v>
      </c>
      <c r="F188" s="15" t="s">
        <v>17</v>
      </c>
      <c r="G188" s="16" t="str">
        <f t="shared" si="21"/>
        <v>B Explotación de minas y canteras</v>
      </c>
      <c r="H188" s="14" t="str">
        <f t="shared" si="23"/>
        <v>07</v>
      </c>
      <c r="I188" s="17" t="s">
        <v>18</v>
      </c>
      <c r="J188" s="17" t="str">
        <f t="shared" si="19"/>
        <v>07 Extracción de minerales metalíferos</v>
      </c>
      <c r="K188" s="14" t="str">
        <f t="shared" si="24"/>
        <v>072</v>
      </c>
      <c r="L188" s="15" t="s">
        <v>19</v>
      </c>
      <c r="M188" s="18" t="s">
        <v>20</v>
      </c>
      <c r="N188" s="15" t="s">
        <v>21</v>
      </c>
      <c r="O188" s="16" t="str">
        <f t="shared" si="20"/>
        <v>0729 Extracción de otros minerales metalíferos no ferrosos</v>
      </c>
      <c r="P188" s="10">
        <v>105342.84</v>
      </c>
    </row>
    <row r="189" spans="1:16" s="12" customFormat="1" ht="24" x14ac:dyDescent="0.25">
      <c r="B189" s="13" t="s">
        <v>80</v>
      </c>
      <c r="C189" s="19">
        <v>2009</v>
      </c>
      <c r="D189" s="38">
        <v>20107290177</v>
      </c>
      <c r="E189" s="14" t="s">
        <v>16</v>
      </c>
      <c r="F189" s="15" t="s">
        <v>17</v>
      </c>
      <c r="G189" s="16" t="str">
        <f t="shared" si="21"/>
        <v>B Explotación de minas y canteras</v>
      </c>
      <c r="H189" s="14" t="str">
        <f t="shared" si="23"/>
        <v>07</v>
      </c>
      <c r="I189" s="17" t="s">
        <v>18</v>
      </c>
      <c r="J189" s="17" t="str">
        <f t="shared" si="19"/>
        <v>07 Extracción de minerales metalíferos</v>
      </c>
      <c r="K189" s="14" t="str">
        <f t="shared" si="24"/>
        <v>072</v>
      </c>
      <c r="L189" s="15" t="s">
        <v>19</v>
      </c>
      <c r="M189" s="18" t="s">
        <v>20</v>
      </c>
      <c r="N189" s="15" t="s">
        <v>21</v>
      </c>
      <c r="O189" s="16" t="str">
        <f t="shared" si="20"/>
        <v>0729 Extracción de otros minerales metalíferos no ferrosos</v>
      </c>
      <c r="P189" s="10">
        <v>116555.19</v>
      </c>
    </row>
    <row r="190" spans="1:16" s="12" customFormat="1" ht="24" x14ac:dyDescent="0.25">
      <c r="B190" s="13" t="s">
        <v>80</v>
      </c>
      <c r="C190" s="19">
        <v>2011</v>
      </c>
      <c r="D190" s="38">
        <v>20107290177</v>
      </c>
      <c r="E190" s="14" t="s">
        <v>16</v>
      </c>
      <c r="F190" s="15" t="s">
        <v>17</v>
      </c>
      <c r="G190" s="16" t="str">
        <f t="shared" si="21"/>
        <v>B Explotación de minas y canteras</v>
      </c>
      <c r="H190" s="14" t="str">
        <f t="shared" si="23"/>
        <v>07</v>
      </c>
      <c r="I190" s="17" t="s">
        <v>18</v>
      </c>
      <c r="J190" s="17" t="str">
        <f t="shared" si="19"/>
        <v>07 Extracción de minerales metalíferos</v>
      </c>
      <c r="K190" s="14" t="str">
        <f t="shared" si="24"/>
        <v>072</v>
      </c>
      <c r="L190" s="15" t="s">
        <v>19</v>
      </c>
      <c r="M190" s="18" t="s">
        <v>20</v>
      </c>
      <c r="N190" s="15" t="s">
        <v>21</v>
      </c>
      <c r="O190" s="16" t="str">
        <f t="shared" si="20"/>
        <v>0729 Extracción de otros minerales metalíferos no ferrosos</v>
      </c>
      <c r="P190" s="10">
        <v>114888.34</v>
      </c>
    </row>
    <row r="191" spans="1:16" s="12" customFormat="1" ht="24" x14ac:dyDescent="0.25">
      <c r="B191" s="13" t="s">
        <v>80</v>
      </c>
      <c r="C191" s="19">
        <v>2012</v>
      </c>
      <c r="D191" s="38">
        <v>20107290177</v>
      </c>
      <c r="E191" s="14" t="s">
        <v>16</v>
      </c>
      <c r="F191" s="15" t="s">
        <v>17</v>
      </c>
      <c r="G191" s="16" t="str">
        <f t="shared" si="21"/>
        <v>B Explotación de minas y canteras</v>
      </c>
      <c r="H191" s="14" t="str">
        <f t="shared" si="23"/>
        <v>07</v>
      </c>
      <c r="I191" s="17" t="s">
        <v>18</v>
      </c>
      <c r="J191" s="17" t="str">
        <f t="shared" si="19"/>
        <v>07 Extracción de minerales metalíferos</v>
      </c>
      <c r="K191" s="14" t="str">
        <f t="shared" si="24"/>
        <v>072</v>
      </c>
      <c r="L191" s="15" t="s">
        <v>19</v>
      </c>
      <c r="M191" s="18" t="s">
        <v>20</v>
      </c>
      <c r="N191" s="15" t="s">
        <v>21</v>
      </c>
      <c r="O191" s="16" t="str">
        <f t="shared" si="20"/>
        <v>0729 Extracción de otros minerales metalíferos no ferrosos</v>
      </c>
      <c r="P191" s="10">
        <v>227030.90000000002</v>
      </c>
    </row>
    <row r="192" spans="1:16" s="12" customFormat="1" ht="24" x14ac:dyDescent="0.25">
      <c r="B192" s="13" t="s">
        <v>80</v>
      </c>
      <c r="C192" s="19">
        <v>2022</v>
      </c>
      <c r="D192" s="38">
        <v>20107290177</v>
      </c>
      <c r="E192" s="14" t="s">
        <v>16</v>
      </c>
      <c r="F192" s="15" t="s">
        <v>17</v>
      </c>
      <c r="G192" s="16" t="str">
        <f t="shared" si="21"/>
        <v>B Explotación de minas y canteras</v>
      </c>
      <c r="H192" s="14" t="str">
        <f t="shared" si="23"/>
        <v>07</v>
      </c>
      <c r="I192" s="17" t="s">
        <v>18</v>
      </c>
      <c r="J192" s="17" t="str">
        <f t="shared" si="19"/>
        <v>07 Extracción de minerales metalíferos</v>
      </c>
      <c r="K192" s="14" t="str">
        <f t="shared" si="24"/>
        <v>072</v>
      </c>
      <c r="L192" s="15" t="s">
        <v>19</v>
      </c>
      <c r="M192" s="18" t="s">
        <v>20</v>
      </c>
      <c r="N192" s="15" t="s">
        <v>21</v>
      </c>
      <c r="O192" s="16" t="str">
        <f t="shared" si="20"/>
        <v>0729 Extracción de otros minerales metalíferos no ferrosos</v>
      </c>
      <c r="P192" s="10">
        <v>1069002.67</v>
      </c>
    </row>
    <row r="193" spans="1:16" s="12" customFormat="1" ht="24" x14ac:dyDescent="0.25">
      <c r="B193" s="13" t="s">
        <v>80</v>
      </c>
      <c r="C193" s="19">
        <v>2023</v>
      </c>
      <c r="D193" s="38">
        <v>20107290177</v>
      </c>
      <c r="E193" s="14" t="s">
        <v>16</v>
      </c>
      <c r="F193" s="15" t="s">
        <v>17</v>
      </c>
      <c r="G193" s="16" t="str">
        <f t="shared" si="21"/>
        <v>B Explotación de minas y canteras</v>
      </c>
      <c r="H193" s="14" t="str">
        <f t="shared" ref="H193:H220" si="25">LEFT(K193,2)</f>
        <v>07</v>
      </c>
      <c r="I193" s="17" t="s">
        <v>18</v>
      </c>
      <c r="J193" s="17" t="str">
        <f t="shared" si="19"/>
        <v>07 Extracción de minerales metalíferos</v>
      </c>
      <c r="K193" s="14" t="str">
        <f t="shared" si="24"/>
        <v>072</v>
      </c>
      <c r="L193" s="15" t="s">
        <v>19</v>
      </c>
      <c r="M193" s="18" t="s">
        <v>20</v>
      </c>
      <c r="N193" s="15" t="s">
        <v>21</v>
      </c>
      <c r="O193" s="16" t="str">
        <f t="shared" si="20"/>
        <v>0729 Extracción de otros minerales metalíferos no ferrosos</v>
      </c>
      <c r="P193" s="10">
        <v>156089.04</v>
      </c>
    </row>
    <row r="194" spans="1:16" s="12" customFormat="1" ht="24" x14ac:dyDescent="0.25">
      <c r="A194" s="12">
        <v>14</v>
      </c>
      <c r="B194" s="13" t="s">
        <v>80</v>
      </c>
      <c r="C194" s="19">
        <v>2025</v>
      </c>
      <c r="D194" s="38">
        <v>20107290177</v>
      </c>
      <c r="E194" s="14" t="s">
        <v>16</v>
      </c>
      <c r="F194" s="15" t="s">
        <v>17</v>
      </c>
      <c r="G194" s="16" t="str">
        <f t="shared" si="21"/>
        <v>B Explotación de minas y canteras</v>
      </c>
      <c r="H194" s="14" t="str">
        <f t="shared" si="25"/>
        <v>07</v>
      </c>
      <c r="I194" s="17" t="s">
        <v>18</v>
      </c>
      <c r="J194" s="17" t="str">
        <f t="shared" ref="J194:J257" si="26">H194&amp;" "&amp;I194</f>
        <v>07 Extracción de minerales metalíferos</v>
      </c>
      <c r="K194" s="14" t="str">
        <f t="shared" si="24"/>
        <v>072</v>
      </c>
      <c r="L194" s="15" t="s">
        <v>19</v>
      </c>
      <c r="M194" s="18" t="s">
        <v>20</v>
      </c>
      <c r="N194" s="15" t="s">
        <v>21</v>
      </c>
      <c r="O194" s="16" t="str">
        <f t="shared" ref="O194:O257" si="27">M194&amp;" "&amp;N194</f>
        <v>0729 Extracción de otros minerales metalíferos no ferrosos</v>
      </c>
      <c r="P194" s="10">
        <v>1202.08</v>
      </c>
    </row>
    <row r="195" spans="1:16" s="12" customFormat="1" ht="24" x14ac:dyDescent="0.25">
      <c r="A195" s="41"/>
      <c r="B195" s="22" t="s">
        <v>80</v>
      </c>
      <c r="C195" s="48">
        <v>2006</v>
      </c>
      <c r="D195" s="38">
        <v>20107290177</v>
      </c>
      <c r="E195" s="44" t="s">
        <v>16</v>
      </c>
      <c r="F195" s="42" t="s">
        <v>17</v>
      </c>
      <c r="G195" s="43" t="str">
        <f t="shared" si="21"/>
        <v>B Explotación de minas y canteras</v>
      </c>
      <c r="H195" s="44" t="str">
        <f t="shared" si="25"/>
        <v>08</v>
      </c>
      <c r="I195" s="45" t="s">
        <v>85</v>
      </c>
      <c r="J195" s="45" t="str">
        <f t="shared" si="26"/>
        <v>08 Explotación de otras minas y canteras</v>
      </c>
      <c r="K195" s="44" t="str">
        <f t="shared" si="24"/>
        <v>089</v>
      </c>
      <c r="L195" s="42" t="s">
        <v>86</v>
      </c>
      <c r="M195" s="46" t="s">
        <v>87</v>
      </c>
      <c r="N195" s="42" t="s">
        <v>88</v>
      </c>
      <c r="O195" s="43" t="str">
        <f t="shared" si="27"/>
        <v>0899 Explotación de otras mineras y canteras n.c.p</v>
      </c>
      <c r="P195" s="54">
        <v>40000.559999999998</v>
      </c>
    </row>
    <row r="196" spans="1:16" s="12" customFormat="1" x14ac:dyDescent="0.25">
      <c r="B196" s="13" t="s">
        <v>244</v>
      </c>
      <c r="C196" s="19">
        <v>2017</v>
      </c>
      <c r="D196" s="38">
        <v>20108069687</v>
      </c>
      <c r="E196" s="14" t="s">
        <v>196</v>
      </c>
      <c r="F196" s="15" t="s">
        <v>197</v>
      </c>
      <c r="G196" s="16" t="str">
        <f t="shared" si="21"/>
        <v>A Agricultura, ganadería, silvicultura y pesca</v>
      </c>
      <c r="H196" s="14" t="str">
        <f t="shared" si="25"/>
        <v>03</v>
      </c>
      <c r="I196" s="17" t="s">
        <v>198</v>
      </c>
      <c r="J196" s="17" t="str">
        <f t="shared" si="26"/>
        <v>03 Pesca y acuicultura</v>
      </c>
      <c r="K196" s="14" t="str">
        <f t="shared" si="24"/>
        <v>031</v>
      </c>
      <c r="L196" s="15" t="s">
        <v>199</v>
      </c>
      <c r="M196" s="18" t="s">
        <v>200</v>
      </c>
      <c r="N196" s="15" t="s">
        <v>201</v>
      </c>
      <c r="O196" s="16" t="str">
        <f t="shared" si="27"/>
        <v>0311 Pesca marítima</v>
      </c>
      <c r="P196" s="10">
        <v>1313.84</v>
      </c>
    </row>
    <row r="197" spans="1:16" s="12" customFormat="1" ht="24" x14ac:dyDescent="0.25">
      <c r="B197" s="22" t="s">
        <v>313</v>
      </c>
      <c r="C197" s="19">
        <v>2006</v>
      </c>
      <c r="D197" s="38">
        <v>20114915026</v>
      </c>
      <c r="E197" s="14" t="s">
        <v>16</v>
      </c>
      <c r="F197" s="15" t="s">
        <v>17</v>
      </c>
      <c r="G197" s="16" t="str">
        <f t="shared" si="21"/>
        <v>B Explotación de minas y canteras</v>
      </c>
      <c r="H197" s="14" t="str">
        <f t="shared" si="25"/>
        <v>07</v>
      </c>
      <c r="I197" s="17" t="s">
        <v>18</v>
      </c>
      <c r="J197" s="17" t="str">
        <f t="shared" si="26"/>
        <v>07 Extracción de minerales metalíferos</v>
      </c>
      <c r="K197" s="14" t="str">
        <f t="shared" si="24"/>
        <v>072</v>
      </c>
      <c r="L197" s="15" t="s">
        <v>19</v>
      </c>
      <c r="M197" s="18" t="s">
        <v>20</v>
      </c>
      <c r="N197" s="15" t="s">
        <v>21</v>
      </c>
      <c r="O197" s="16" t="str">
        <f t="shared" si="27"/>
        <v>0729 Extracción de otros minerales metalíferos no ferrosos</v>
      </c>
      <c r="P197" s="10">
        <v>57890.28</v>
      </c>
    </row>
    <row r="198" spans="1:16" s="12" customFormat="1" ht="24" x14ac:dyDescent="0.25">
      <c r="B198" s="22" t="s">
        <v>313</v>
      </c>
      <c r="C198" s="19">
        <v>2007</v>
      </c>
      <c r="D198" s="38">
        <v>20114915026</v>
      </c>
      <c r="E198" s="14" t="s">
        <v>16</v>
      </c>
      <c r="F198" s="15" t="s">
        <v>17</v>
      </c>
      <c r="G198" s="16" t="str">
        <f t="shared" si="21"/>
        <v>B Explotación de minas y canteras</v>
      </c>
      <c r="H198" s="14" t="str">
        <f t="shared" si="25"/>
        <v>07</v>
      </c>
      <c r="I198" s="17" t="s">
        <v>18</v>
      </c>
      <c r="J198" s="17" t="str">
        <f t="shared" si="26"/>
        <v>07 Extracción de minerales metalíferos</v>
      </c>
      <c r="K198" s="14" t="str">
        <f t="shared" si="24"/>
        <v>072</v>
      </c>
      <c r="L198" s="15" t="s">
        <v>19</v>
      </c>
      <c r="M198" s="18" t="s">
        <v>20</v>
      </c>
      <c r="N198" s="15" t="s">
        <v>21</v>
      </c>
      <c r="O198" s="16" t="str">
        <f t="shared" si="27"/>
        <v>0729 Extracción de otros minerales metalíferos no ferrosos</v>
      </c>
      <c r="P198" s="10">
        <v>8412914.3499999996</v>
      </c>
    </row>
    <row r="199" spans="1:16" s="12" customFormat="1" ht="24" x14ac:dyDescent="0.25">
      <c r="B199" s="22" t="s">
        <v>313</v>
      </c>
      <c r="C199" s="19">
        <v>2008</v>
      </c>
      <c r="D199" s="38">
        <v>20114915026</v>
      </c>
      <c r="E199" s="14" t="s">
        <v>16</v>
      </c>
      <c r="F199" s="15" t="s">
        <v>17</v>
      </c>
      <c r="G199" s="16" t="str">
        <f t="shared" si="21"/>
        <v>B Explotación de minas y canteras</v>
      </c>
      <c r="H199" s="14" t="str">
        <f t="shared" si="25"/>
        <v>07</v>
      </c>
      <c r="I199" s="17" t="s">
        <v>18</v>
      </c>
      <c r="J199" s="17" t="str">
        <f t="shared" si="26"/>
        <v>07 Extracción de minerales metalíferos</v>
      </c>
      <c r="K199" s="14" t="str">
        <f t="shared" si="24"/>
        <v>072</v>
      </c>
      <c r="L199" s="15" t="s">
        <v>19</v>
      </c>
      <c r="M199" s="18" t="s">
        <v>20</v>
      </c>
      <c r="N199" s="15" t="s">
        <v>21</v>
      </c>
      <c r="O199" s="16" t="str">
        <f t="shared" si="27"/>
        <v>0729 Extracción de otros minerales metalíferos no ferrosos</v>
      </c>
      <c r="P199" s="10">
        <v>7590000</v>
      </c>
    </row>
    <row r="200" spans="1:16" s="12" customFormat="1" ht="24" x14ac:dyDescent="0.25">
      <c r="B200" s="22" t="s">
        <v>313</v>
      </c>
      <c r="C200" s="19">
        <v>2009</v>
      </c>
      <c r="D200" s="38">
        <v>20114915026</v>
      </c>
      <c r="E200" s="14" t="s">
        <v>16</v>
      </c>
      <c r="F200" s="15" t="s">
        <v>17</v>
      </c>
      <c r="G200" s="16" t="str">
        <f t="shared" si="21"/>
        <v>B Explotación de minas y canteras</v>
      </c>
      <c r="H200" s="14" t="str">
        <f t="shared" si="25"/>
        <v>07</v>
      </c>
      <c r="I200" s="17" t="s">
        <v>18</v>
      </c>
      <c r="J200" s="17" t="str">
        <f t="shared" si="26"/>
        <v>07 Extracción de minerales metalíferos</v>
      </c>
      <c r="K200" s="14" t="str">
        <f t="shared" si="24"/>
        <v>072</v>
      </c>
      <c r="L200" s="15" t="s">
        <v>19</v>
      </c>
      <c r="M200" s="18" t="s">
        <v>20</v>
      </c>
      <c r="N200" s="15" t="s">
        <v>21</v>
      </c>
      <c r="O200" s="16" t="str">
        <f t="shared" si="27"/>
        <v>0729 Extracción de otros minerales metalíferos no ferrosos</v>
      </c>
      <c r="P200" s="10">
        <v>471059.4</v>
      </c>
    </row>
    <row r="201" spans="1:16" s="12" customFormat="1" ht="24" x14ac:dyDescent="0.25">
      <c r="B201" s="22" t="s">
        <v>313</v>
      </c>
      <c r="C201" s="19">
        <v>2010</v>
      </c>
      <c r="D201" s="38">
        <v>20114915026</v>
      </c>
      <c r="E201" s="14" t="s">
        <v>16</v>
      </c>
      <c r="F201" s="15" t="s">
        <v>17</v>
      </c>
      <c r="G201" s="16" t="str">
        <f t="shared" si="21"/>
        <v>B Explotación de minas y canteras</v>
      </c>
      <c r="H201" s="14" t="str">
        <f t="shared" si="25"/>
        <v>07</v>
      </c>
      <c r="I201" s="17" t="s">
        <v>18</v>
      </c>
      <c r="J201" s="17" t="str">
        <f t="shared" si="26"/>
        <v>07 Extracción de minerales metalíferos</v>
      </c>
      <c r="K201" s="14" t="str">
        <f t="shared" si="24"/>
        <v>072</v>
      </c>
      <c r="L201" s="15" t="s">
        <v>19</v>
      </c>
      <c r="M201" s="18" t="s">
        <v>20</v>
      </c>
      <c r="N201" s="15" t="s">
        <v>21</v>
      </c>
      <c r="O201" s="16" t="str">
        <f t="shared" si="27"/>
        <v>0729 Extracción de otros minerales metalíferos no ferrosos</v>
      </c>
      <c r="P201" s="10">
        <v>12159.66</v>
      </c>
    </row>
    <row r="202" spans="1:16" s="53" customFormat="1" ht="24" x14ac:dyDescent="0.25">
      <c r="A202" s="12"/>
      <c r="B202" s="22" t="s">
        <v>313</v>
      </c>
      <c r="C202" s="19">
        <v>2011</v>
      </c>
      <c r="D202" s="38">
        <v>20114915026</v>
      </c>
      <c r="E202" s="14" t="s">
        <v>16</v>
      </c>
      <c r="F202" s="15" t="s">
        <v>17</v>
      </c>
      <c r="G202" s="16" t="str">
        <f t="shared" si="21"/>
        <v>B Explotación de minas y canteras</v>
      </c>
      <c r="H202" s="14" t="str">
        <f t="shared" si="25"/>
        <v>07</v>
      </c>
      <c r="I202" s="17" t="s">
        <v>18</v>
      </c>
      <c r="J202" s="17" t="str">
        <f t="shared" si="26"/>
        <v>07 Extracción de minerales metalíferos</v>
      </c>
      <c r="K202" s="14" t="str">
        <f t="shared" si="24"/>
        <v>072</v>
      </c>
      <c r="L202" s="15" t="s">
        <v>19</v>
      </c>
      <c r="M202" s="18" t="s">
        <v>20</v>
      </c>
      <c r="N202" s="15" t="s">
        <v>21</v>
      </c>
      <c r="O202" s="16" t="str">
        <f t="shared" si="27"/>
        <v>0729 Extracción de otros minerales metalíferos no ferrosos</v>
      </c>
      <c r="P202" s="10">
        <v>1716097.3599999999</v>
      </c>
    </row>
    <row r="203" spans="1:16" s="12" customFormat="1" ht="24" x14ac:dyDescent="0.25">
      <c r="B203" s="22" t="s">
        <v>313</v>
      </c>
      <c r="C203" s="19">
        <v>2012</v>
      </c>
      <c r="D203" s="40">
        <v>20114915026</v>
      </c>
      <c r="E203" s="14" t="s">
        <v>16</v>
      </c>
      <c r="F203" s="15" t="s">
        <v>17</v>
      </c>
      <c r="G203" s="16" t="str">
        <f t="shared" si="21"/>
        <v>B Explotación de minas y canteras</v>
      </c>
      <c r="H203" s="14" t="str">
        <f t="shared" si="25"/>
        <v>07</v>
      </c>
      <c r="I203" s="17" t="s">
        <v>18</v>
      </c>
      <c r="J203" s="17" t="str">
        <f t="shared" si="26"/>
        <v>07 Extracción de minerales metalíferos</v>
      </c>
      <c r="K203" s="14" t="str">
        <f t="shared" si="24"/>
        <v>072</v>
      </c>
      <c r="L203" s="15" t="s">
        <v>19</v>
      </c>
      <c r="M203" s="18" t="s">
        <v>20</v>
      </c>
      <c r="N203" s="15" t="s">
        <v>21</v>
      </c>
      <c r="O203" s="16" t="str">
        <f t="shared" si="27"/>
        <v>0729 Extracción de otros minerales metalíferos no ferrosos</v>
      </c>
      <c r="P203" s="10">
        <v>838947.56</v>
      </c>
    </row>
    <row r="204" spans="1:16" s="12" customFormat="1" ht="24" x14ac:dyDescent="0.25">
      <c r="B204" s="22" t="s">
        <v>313</v>
      </c>
      <c r="C204" s="19">
        <v>2022</v>
      </c>
      <c r="D204" s="40">
        <v>20114915026</v>
      </c>
      <c r="E204" s="14" t="s">
        <v>16</v>
      </c>
      <c r="F204" s="15" t="s">
        <v>17</v>
      </c>
      <c r="G204" s="16" t="str">
        <f t="shared" si="21"/>
        <v>B Explotación de minas y canteras</v>
      </c>
      <c r="H204" s="14" t="str">
        <f t="shared" si="25"/>
        <v>07</v>
      </c>
      <c r="I204" s="17" t="s">
        <v>18</v>
      </c>
      <c r="J204" s="17" t="str">
        <f t="shared" si="26"/>
        <v>07 Extracción de minerales metalíferos</v>
      </c>
      <c r="K204" s="14" t="str">
        <f t="shared" si="24"/>
        <v>072</v>
      </c>
      <c r="L204" s="15" t="s">
        <v>19</v>
      </c>
      <c r="M204" s="18" t="s">
        <v>20</v>
      </c>
      <c r="N204" s="15" t="s">
        <v>21</v>
      </c>
      <c r="O204" s="16" t="str">
        <f t="shared" si="27"/>
        <v>0729 Extracción de otros minerales metalíferos no ferrosos</v>
      </c>
      <c r="P204" s="10">
        <v>1665000.91</v>
      </c>
    </row>
    <row r="205" spans="1:16" s="12" customFormat="1" ht="24" x14ac:dyDescent="0.25">
      <c r="B205" s="22" t="s">
        <v>401</v>
      </c>
      <c r="C205" s="19">
        <v>1999</v>
      </c>
      <c r="D205" s="40">
        <v>20115039262</v>
      </c>
      <c r="E205" s="14" t="s">
        <v>23</v>
      </c>
      <c r="F205" s="15" t="s">
        <v>24</v>
      </c>
      <c r="G205" s="16" t="str">
        <f t="shared" si="21"/>
        <v>C Industria manufacturera</v>
      </c>
      <c r="H205" s="14" t="str">
        <f t="shared" si="25"/>
        <v>23</v>
      </c>
      <c r="I205" s="17" t="s">
        <v>35</v>
      </c>
      <c r="J205" s="17" t="str">
        <f t="shared" si="26"/>
        <v>23 Fabricación de otros productos metálicos</v>
      </c>
      <c r="K205" s="14" t="str">
        <f t="shared" si="24"/>
        <v>239</v>
      </c>
      <c r="L205" s="15" t="s">
        <v>36</v>
      </c>
      <c r="M205" s="18" t="s">
        <v>37</v>
      </c>
      <c r="N205" s="15" t="s">
        <v>38</v>
      </c>
      <c r="O205" s="16" t="str">
        <f t="shared" si="27"/>
        <v>2394 Fabricación de Cemento, Cal y Yeso</v>
      </c>
      <c r="P205" s="10">
        <v>7129.29</v>
      </c>
    </row>
    <row r="206" spans="1:16" s="12" customFormat="1" ht="24" x14ac:dyDescent="0.25">
      <c r="B206" s="22" t="s">
        <v>401</v>
      </c>
      <c r="C206" s="19">
        <v>2005</v>
      </c>
      <c r="D206" s="40">
        <v>20115039262</v>
      </c>
      <c r="E206" s="14" t="s">
        <v>23</v>
      </c>
      <c r="F206" s="15" t="s">
        <v>24</v>
      </c>
      <c r="G206" s="16" t="str">
        <f t="shared" si="21"/>
        <v>C Industria manufacturera</v>
      </c>
      <c r="H206" s="14" t="str">
        <f t="shared" si="25"/>
        <v>23</v>
      </c>
      <c r="I206" s="17" t="s">
        <v>35</v>
      </c>
      <c r="J206" s="17" t="str">
        <f t="shared" si="26"/>
        <v>23 Fabricación de otros productos metálicos</v>
      </c>
      <c r="K206" s="14" t="str">
        <f t="shared" si="24"/>
        <v>239</v>
      </c>
      <c r="L206" s="15" t="s">
        <v>36</v>
      </c>
      <c r="M206" s="18" t="s">
        <v>37</v>
      </c>
      <c r="N206" s="15" t="s">
        <v>38</v>
      </c>
      <c r="O206" s="16" t="str">
        <f t="shared" si="27"/>
        <v>2394 Fabricación de Cemento, Cal y Yeso</v>
      </c>
      <c r="P206" s="10">
        <v>8548.48</v>
      </c>
    </row>
    <row r="207" spans="1:16" s="12" customFormat="1" ht="24" x14ac:dyDescent="0.25">
      <c r="B207" s="22" t="s">
        <v>401</v>
      </c>
      <c r="C207" s="19">
        <v>2012</v>
      </c>
      <c r="D207" s="38">
        <v>20115039262</v>
      </c>
      <c r="E207" s="14" t="s">
        <v>23</v>
      </c>
      <c r="F207" s="15" t="s">
        <v>24</v>
      </c>
      <c r="G207" s="16" t="str">
        <f t="shared" si="21"/>
        <v>C Industria manufacturera</v>
      </c>
      <c r="H207" s="14" t="str">
        <f t="shared" si="25"/>
        <v>23</v>
      </c>
      <c r="I207" s="17" t="s">
        <v>35</v>
      </c>
      <c r="J207" s="17" t="str">
        <f t="shared" si="26"/>
        <v>23 Fabricación de otros productos metálicos</v>
      </c>
      <c r="K207" s="14" t="str">
        <f t="shared" si="24"/>
        <v>239</v>
      </c>
      <c r="L207" s="15" t="s">
        <v>36</v>
      </c>
      <c r="M207" s="18" t="s">
        <v>37</v>
      </c>
      <c r="N207" s="15" t="s">
        <v>38</v>
      </c>
      <c r="O207" s="16" t="str">
        <f t="shared" si="27"/>
        <v>2394 Fabricación de Cemento, Cal y Yeso</v>
      </c>
      <c r="P207" s="10">
        <v>20383.48</v>
      </c>
    </row>
    <row r="208" spans="1:16" s="12" customFormat="1" ht="24" x14ac:dyDescent="0.25">
      <c r="B208" s="22" t="s">
        <v>401</v>
      </c>
      <c r="C208" s="19">
        <v>2013</v>
      </c>
      <c r="D208" s="38">
        <v>20115039262</v>
      </c>
      <c r="E208" s="14" t="s">
        <v>23</v>
      </c>
      <c r="F208" s="15" t="s">
        <v>24</v>
      </c>
      <c r="G208" s="16" t="str">
        <f t="shared" ref="G208:G271" si="28">E208&amp;" "&amp;F208</f>
        <v>C Industria manufacturera</v>
      </c>
      <c r="H208" s="14" t="str">
        <f t="shared" si="25"/>
        <v>23</v>
      </c>
      <c r="I208" s="17" t="s">
        <v>35</v>
      </c>
      <c r="J208" s="17" t="str">
        <f t="shared" si="26"/>
        <v>23 Fabricación de otros productos metálicos</v>
      </c>
      <c r="K208" s="14" t="str">
        <f t="shared" ref="K208:K220" si="29">LEFT(M208,3)</f>
        <v>239</v>
      </c>
      <c r="L208" s="15" t="s">
        <v>36</v>
      </c>
      <c r="M208" s="18" t="s">
        <v>37</v>
      </c>
      <c r="N208" s="15" t="s">
        <v>38</v>
      </c>
      <c r="O208" s="16" t="str">
        <f t="shared" si="27"/>
        <v>2394 Fabricación de Cemento, Cal y Yeso</v>
      </c>
      <c r="P208" s="10">
        <v>9974.86</v>
      </c>
    </row>
    <row r="209" spans="1:16" s="12" customFormat="1" ht="24" x14ac:dyDescent="0.25">
      <c r="A209" s="41"/>
      <c r="B209" s="13" t="s">
        <v>401</v>
      </c>
      <c r="C209" s="50">
        <v>2003</v>
      </c>
      <c r="D209" s="38">
        <v>20115039262</v>
      </c>
      <c r="E209" s="55" t="s">
        <v>16</v>
      </c>
      <c r="F209" s="42" t="s">
        <v>17</v>
      </c>
      <c r="G209" s="43" t="str">
        <f t="shared" si="28"/>
        <v>B Explotación de minas y canteras</v>
      </c>
      <c r="H209" s="44" t="str">
        <f t="shared" si="25"/>
        <v>07</v>
      </c>
      <c r="I209" s="45" t="s">
        <v>18</v>
      </c>
      <c r="J209" s="45" t="str">
        <f t="shared" si="26"/>
        <v>07 Extracción de minerales metalíferos</v>
      </c>
      <c r="K209" s="44" t="str">
        <f t="shared" si="29"/>
        <v>072</v>
      </c>
      <c r="L209" s="42" t="s">
        <v>19</v>
      </c>
      <c r="M209" s="46" t="s">
        <v>20</v>
      </c>
      <c r="N209" s="42" t="s">
        <v>21</v>
      </c>
      <c r="O209" s="43" t="str">
        <f t="shared" si="27"/>
        <v>0729 Extracción de otros minerales metalíferos no ferrosos</v>
      </c>
      <c r="P209" s="51">
        <v>32476.799999999999</v>
      </c>
    </row>
    <row r="210" spans="1:16" s="12" customFormat="1" ht="24" x14ac:dyDescent="0.25">
      <c r="B210" s="13" t="s">
        <v>258</v>
      </c>
      <c r="C210" s="19">
        <v>2018</v>
      </c>
      <c r="D210" s="38">
        <v>20122211691</v>
      </c>
      <c r="E210" s="14" t="s">
        <v>218</v>
      </c>
      <c r="F210" s="15" t="s">
        <v>219</v>
      </c>
      <c r="G210" s="16" t="str">
        <f t="shared" si="28"/>
        <v>L Actividades inmobiliarias</v>
      </c>
      <c r="H210" s="14" t="str">
        <f t="shared" si="25"/>
        <v>68</v>
      </c>
      <c r="I210" s="17" t="s">
        <v>219</v>
      </c>
      <c r="J210" s="17" t="str">
        <f t="shared" si="26"/>
        <v>68 Actividades inmobiliarias</v>
      </c>
      <c r="K210" s="14" t="str">
        <f t="shared" si="29"/>
        <v>681</v>
      </c>
      <c r="L210" s="15" t="s">
        <v>220</v>
      </c>
      <c r="M210" s="18" t="s">
        <v>221</v>
      </c>
      <c r="N210" s="15" t="s">
        <v>220</v>
      </c>
      <c r="O210" s="16" t="str">
        <f t="shared" si="27"/>
        <v>6810 Actividades inmobiliarias realizadas con bienes propios o arrendados</v>
      </c>
      <c r="P210" s="10">
        <v>7406.36</v>
      </c>
    </row>
    <row r="211" spans="1:16" s="12" customFormat="1" ht="24" x14ac:dyDescent="0.25">
      <c r="B211" s="13" t="s">
        <v>253</v>
      </c>
      <c r="C211" s="19">
        <v>2018</v>
      </c>
      <c r="D211" s="38">
        <v>20128847881</v>
      </c>
      <c r="E211" s="14" t="s">
        <v>108</v>
      </c>
      <c r="F211" s="15" t="s">
        <v>109</v>
      </c>
      <c r="G211" s="16" t="str">
        <f t="shared" si="28"/>
        <v>H Transporte y almacenamiento</v>
      </c>
      <c r="H211" s="14" t="str">
        <f t="shared" si="25"/>
        <v>50</v>
      </c>
      <c r="I211" s="17" t="s">
        <v>254</v>
      </c>
      <c r="J211" s="17" t="str">
        <f t="shared" si="26"/>
        <v>50 Transporte por vía acuática</v>
      </c>
      <c r="K211" s="14" t="str">
        <f t="shared" si="29"/>
        <v>502</v>
      </c>
      <c r="L211" s="15" t="s">
        <v>255</v>
      </c>
      <c r="M211" s="18" t="s">
        <v>256</v>
      </c>
      <c r="N211" s="15" t="s">
        <v>257</v>
      </c>
      <c r="O211" s="16" t="str">
        <f t="shared" si="27"/>
        <v>5022 Transporte de carga por vías de navegación  de interiores</v>
      </c>
      <c r="P211" s="10">
        <v>5805.96</v>
      </c>
    </row>
    <row r="212" spans="1:16" s="12" customFormat="1" ht="24" x14ac:dyDescent="0.25">
      <c r="B212" s="13" t="s">
        <v>63</v>
      </c>
      <c r="C212" s="19">
        <v>2005</v>
      </c>
      <c r="D212" s="38">
        <v>20128915711</v>
      </c>
      <c r="E212" s="14" t="s">
        <v>23</v>
      </c>
      <c r="F212" s="15" t="s">
        <v>24</v>
      </c>
      <c r="G212" s="16" t="str">
        <f t="shared" si="28"/>
        <v>C Industria manufacturera</v>
      </c>
      <c r="H212" s="14" t="str">
        <f t="shared" si="25"/>
        <v>11</v>
      </c>
      <c r="I212" s="17" t="s">
        <v>64</v>
      </c>
      <c r="J212" s="17" t="str">
        <f t="shared" si="26"/>
        <v>11 Elaboración de bebidas</v>
      </c>
      <c r="K212" s="14" t="str">
        <f t="shared" si="29"/>
        <v>110</v>
      </c>
      <c r="L212" s="15" t="s">
        <v>64</v>
      </c>
      <c r="M212" s="18" t="s">
        <v>65</v>
      </c>
      <c r="N212" s="15" t="s">
        <v>66</v>
      </c>
      <c r="O212" s="16" t="str">
        <f t="shared" si="27"/>
        <v>1103 Elaboración de bebidas malteadas y de malta</v>
      </c>
      <c r="P212" s="10">
        <v>20993.24</v>
      </c>
    </row>
    <row r="213" spans="1:16" s="12" customFormat="1" ht="24" x14ac:dyDescent="0.25">
      <c r="B213" s="13" t="s">
        <v>63</v>
      </c>
      <c r="C213" s="19">
        <v>2006</v>
      </c>
      <c r="D213" s="38">
        <v>20128915711</v>
      </c>
      <c r="E213" s="14" t="s">
        <v>23</v>
      </c>
      <c r="F213" s="15" t="s">
        <v>24</v>
      </c>
      <c r="G213" s="16" t="str">
        <f t="shared" si="28"/>
        <v>C Industria manufacturera</v>
      </c>
      <c r="H213" s="14" t="str">
        <f t="shared" si="25"/>
        <v>11</v>
      </c>
      <c r="I213" s="17" t="s">
        <v>64</v>
      </c>
      <c r="J213" s="17" t="str">
        <f t="shared" si="26"/>
        <v>11 Elaboración de bebidas</v>
      </c>
      <c r="K213" s="14" t="str">
        <f t="shared" si="29"/>
        <v>110</v>
      </c>
      <c r="L213" s="15" t="s">
        <v>64</v>
      </c>
      <c r="M213" s="18" t="s">
        <v>65</v>
      </c>
      <c r="N213" s="15" t="s">
        <v>66</v>
      </c>
      <c r="O213" s="16" t="str">
        <f t="shared" si="27"/>
        <v>1103 Elaboración de bebidas malteadas y de malta</v>
      </c>
      <c r="P213" s="10">
        <v>40596.93</v>
      </c>
    </row>
    <row r="214" spans="1:16" s="12" customFormat="1" ht="24" x14ac:dyDescent="0.25">
      <c r="B214" s="13" t="s">
        <v>63</v>
      </c>
      <c r="C214" s="19">
        <v>2007</v>
      </c>
      <c r="D214" s="38">
        <v>20128915711</v>
      </c>
      <c r="E214" s="14" t="s">
        <v>23</v>
      </c>
      <c r="F214" s="15" t="s">
        <v>24</v>
      </c>
      <c r="G214" s="16" t="str">
        <f t="shared" si="28"/>
        <v>C Industria manufacturera</v>
      </c>
      <c r="H214" s="14" t="str">
        <f t="shared" si="25"/>
        <v>11</v>
      </c>
      <c r="I214" s="17" t="s">
        <v>64</v>
      </c>
      <c r="J214" s="17" t="str">
        <f t="shared" si="26"/>
        <v>11 Elaboración de bebidas</v>
      </c>
      <c r="K214" s="14" t="str">
        <f t="shared" si="29"/>
        <v>110</v>
      </c>
      <c r="L214" s="15" t="s">
        <v>64</v>
      </c>
      <c r="M214" s="18" t="s">
        <v>65</v>
      </c>
      <c r="N214" s="15" t="s">
        <v>66</v>
      </c>
      <c r="O214" s="16" t="str">
        <f t="shared" si="27"/>
        <v>1103 Elaboración de bebidas malteadas y de malta</v>
      </c>
      <c r="P214" s="10">
        <v>53109.64</v>
      </c>
    </row>
    <row r="215" spans="1:16" s="12" customFormat="1" ht="24" x14ac:dyDescent="0.25">
      <c r="B215" s="13" t="s">
        <v>63</v>
      </c>
      <c r="C215" s="19">
        <v>2016</v>
      </c>
      <c r="D215" s="38">
        <v>20128915711</v>
      </c>
      <c r="E215" s="14" t="s">
        <v>23</v>
      </c>
      <c r="F215" s="15" t="s">
        <v>24</v>
      </c>
      <c r="G215" s="16" t="str">
        <f t="shared" si="28"/>
        <v>C Industria manufacturera</v>
      </c>
      <c r="H215" s="14" t="str">
        <f t="shared" si="25"/>
        <v>11</v>
      </c>
      <c r="I215" s="17" t="s">
        <v>64</v>
      </c>
      <c r="J215" s="17" t="str">
        <f t="shared" si="26"/>
        <v>11 Elaboración de bebidas</v>
      </c>
      <c r="K215" s="14" t="str">
        <f t="shared" si="29"/>
        <v>110</v>
      </c>
      <c r="L215" s="15" t="s">
        <v>64</v>
      </c>
      <c r="M215" s="18" t="s">
        <v>65</v>
      </c>
      <c r="N215" s="15" t="s">
        <v>66</v>
      </c>
      <c r="O215" s="16" t="str">
        <f t="shared" si="27"/>
        <v>1103 Elaboración de bebidas malteadas y de malta</v>
      </c>
      <c r="P215" s="10">
        <v>174113.55</v>
      </c>
    </row>
    <row r="216" spans="1:16" s="12" customFormat="1" ht="24" x14ac:dyDescent="0.25">
      <c r="B216" s="13" t="s">
        <v>63</v>
      </c>
      <c r="C216" s="19">
        <v>2016</v>
      </c>
      <c r="D216" s="38">
        <v>20128915711</v>
      </c>
      <c r="E216" s="14" t="s">
        <v>23</v>
      </c>
      <c r="F216" s="15" t="s">
        <v>24</v>
      </c>
      <c r="G216" s="16" t="str">
        <f t="shared" si="28"/>
        <v>C Industria manufacturera</v>
      </c>
      <c r="H216" s="14" t="str">
        <f t="shared" si="25"/>
        <v>11</v>
      </c>
      <c r="I216" s="17" t="s">
        <v>64</v>
      </c>
      <c r="J216" s="17" t="str">
        <f t="shared" si="26"/>
        <v>11 Elaboración de bebidas</v>
      </c>
      <c r="K216" s="14" t="str">
        <f t="shared" si="29"/>
        <v>110</v>
      </c>
      <c r="L216" s="15" t="s">
        <v>64</v>
      </c>
      <c r="M216" s="18" t="s">
        <v>65</v>
      </c>
      <c r="N216" s="15" t="s">
        <v>66</v>
      </c>
      <c r="O216" s="16" t="str">
        <f t="shared" si="27"/>
        <v>1103 Elaboración de bebidas malteadas y de malta</v>
      </c>
      <c r="P216" s="10">
        <v>90769.97</v>
      </c>
    </row>
    <row r="217" spans="1:16" s="12" customFormat="1" ht="24" x14ac:dyDescent="0.25">
      <c r="B217" s="13" t="s">
        <v>63</v>
      </c>
      <c r="C217" s="19">
        <v>2016</v>
      </c>
      <c r="D217" s="38">
        <v>20128915711</v>
      </c>
      <c r="E217" s="14" t="s">
        <v>23</v>
      </c>
      <c r="F217" s="15" t="s">
        <v>24</v>
      </c>
      <c r="G217" s="16" t="str">
        <f t="shared" si="28"/>
        <v>C Industria manufacturera</v>
      </c>
      <c r="H217" s="14" t="str">
        <f t="shared" si="25"/>
        <v>11</v>
      </c>
      <c r="I217" s="17" t="s">
        <v>64</v>
      </c>
      <c r="J217" s="17" t="str">
        <f t="shared" si="26"/>
        <v>11 Elaboración de bebidas</v>
      </c>
      <c r="K217" s="14" t="str">
        <f t="shared" si="29"/>
        <v>110</v>
      </c>
      <c r="L217" s="15" t="s">
        <v>64</v>
      </c>
      <c r="M217" s="18" t="s">
        <v>65</v>
      </c>
      <c r="N217" s="15" t="s">
        <v>66</v>
      </c>
      <c r="O217" s="16" t="str">
        <f t="shared" si="27"/>
        <v>1103 Elaboración de bebidas malteadas y de malta</v>
      </c>
      <c r="P217" s="10">
        <v>35440.6</v>
      </c>
    </row>
    <row r="218" spans="1:16" s="12" customFormat="1" ht="24" x14ac:dyDescent="0.25">
      <c r="B218" s="13" t="s">
        <v>63</v>
      </c>
      <c r="C218" s="19">
        <v>2017</v>
      </c>
      <c r="D218" s="38">
        <v>20128915711</v>
      </c>
      <c r="E218" s="14" t="s">
        <v>23</v>
      </c>
      <c r="F218" s="15" t="s">
        <v>24</v>
      </c>
      <c r="G218" s="16" t="str">
        <f t="shared" si="28"/>
        <v>C Industria manufacturera</v>
      </c>
      <c r="H218" s="14" t="str">
        <f t="shared" si="25"/>
        <v>11</v>
      </c>
      <c r="I218" s="17" t="s">
        <v>64</v>
      </c>
      <c r="J218" s="17" t="str">
        <f t="shared" si="26"/>
        <v>11 Elaboración de bebidas</v>
      </c>
      <c r="K218" s="14" t="str">
        <f t="shared" si="29"/>
        <v>110</v>
      </c>
      <c r="L218" s="15" t="s">
        <v>64</v>
      </c>
      <c r="M218" s="18" t="s">
        <v>65</v>
      </c>
      <c r="N218" s="15" t="s">
        <v>66</v>
      </c>
      <c r="O218" s="16" t="str">
        <f t="shared" si="27"/>
        <v>1103 Elaboración de bebidas malteadas y de malta</v>
      </c>
      <c r="P218" s="10">
        <v>58613</v>
      </c>
    </row>
    <row r="219" spans="1:16" s="12" customFormat="1" ht="24" x14ac:dyDescent="0.25">
      <c r="B219" s="13" t="s">
        <v>63</v>
      </c>
      <c r="C219" s="19">
        <v>2018</v>
      </c>
      <c r="D219" s="38">
        <v>20128915711</v>
      </c>
      <c r="E219" s="14" t="s">
        <v>23</v>
      </c>
      <c r="F219" s="15" t="s">
        <v>24</v>
      </c>
      <c r="G219" s="16" t="str">
        <f t="shared" si="28"/>
        <v>C Industria manufacturera</v>
      </c>
      <c r="H219" s="14" t="str">
        <f t="shared" si="25"/>
        <v>11</v>
      </c>
      <c r="I219" s="17" t="s">
        <v>64</v>
      </c>
      <c r="J219" s="17" t="str">
        <f t="shared" si="26"/>
        <v>11 Elaboración de bebidas</v>
      </c>
      <c r="K219" s="14" t="str">
        <f t="shared" si="29"/>
        <v>110</v>
      </c>
      <c r="L219" s="15" t="s">
        <v>64</v>
      </c>
      <c r="M219" s="18" t="s">
        <v>65</v>
      </c>
      <c r="N219" s="15" t="s">
        <v>66</v>
      </c>
      <c r="O219" s="16" t="str">
        <f t="shared" si="27"/>
        <v>1103 Elaboración de bebidas malteadas y de malta</v>
      </c>
      <c r="P219" s="10">
        <v>1990521.28</v>
      </c>
    </row>
    <row r="220" spans="1:16" s="12" customFormat="1" ht="36" x14ac:dyDescent="0.25">
      <c r="B220" s="13" t="s">
        <v>167</v>
      </c>
      <c r="C220" s="19">
        <v>2012</v>
      </c>
      <c r="D220" s="38">
        <v>20131495006</v>
      </c>
      <c r="E220" s="14" t="s">
        <v>23</v>
      </c>
      <c r="F220" s="15" t="s">
        <v>24</v>
      </c>
      <c r="G220" s="16" t="str">
        <f t="shared" si="28"/>
        <v>C Industria manufacturera</v>
      </c>
      <c r="H220" s="14" t="str">
        <f t="shared" si="25"/>
        <v>10</v>
      </c>
      <c r="I220" s="17" t="s">
        <v>168</v>
      </c>
      <c r="J220" s="17" t="str">
        <f t="shared" si="26"/>
        <v>10 Elaboración de productos alimenticios</v>
      </c>
      <c r="K220" s="14" t="str">
        <f t="shared" si="29"/>
        <v>106</v>
      </c>
      <c r="L220" s="15" t="s">
        <v>169</v>
      </c>
      <c r="M220" s="18" t="s">
        <v>170</v>
      </c>
      <c r="N220" s="15" t="s">
        <v>171</v>
      </c>
      <c r="O220" s="16" t="str">
        <f t="shared" si="27"/>
        <v>1061 Elaboración de productos de molinería</v>
      </c>
      <c r="P220" s="10">
        <v>593827.01</v>
      </c>
    </row>
    <row r="221" spans="1:16" s="12" customFormat="1" ht="24" x14ac:dyDescent="0.25">
      <c r="B221" s="13" t="s">
        <v>28</v>
      </c>
      <c r="C221" s="19">
        <v>1998</v>
      </c>
      <c r="D221" s="38">
        <v>20131644524</v>
      </c>
      <c r="E221" s="14" t="s">
        <v>23</v>
      </c>
      <c r="F221" s="15" t="s">
        <v>24</v>
      </c>
      <c r="G221" s="16" t="str">
        <f t="shared" si="28"/>
        <v>C Industria manufacturera</v>
      </c>
      <c r="H221" s="14">
        <v>19</v>
      </c>
      <c r="I221" s="17" t="s">
        <v>29</v>
      </c>
      <c r="J221" s="17" t="str">
        <f t="shared" si="26"/>
        <v>19 Fabricación de productos de hormigon cemento</v>
      </c>
      <c r="K221" s="14" t="s">
        <v>30</v>
      </c>
      <c r="L221" s="15" t="s">
        <v>29</v>
      </c>
      <c r="M221" s="18" t="s">
        <v>31</v>
      </c>
      <c r="N221" s="15" t="s">
        <v>29</v>
      </c>
      <c r="O221" s="16" t="str">
        <f t="shared" si="27"/>
        <v>2395 Fabricación de productos de hormigon cemento</v>
      </c>
      <c r="P221" s="10">
        <v>1628.31</v>
      </c>
    </row>
    <row r="222" spans="1:16" s="12" customFormat="1" ht="24" x14ac:dyDescent="0.25">
      <c r="B222" s="13" t="s">
        <v>243</v>
      </c>
      <c r="C222" s="19">
        <v>2017</v>
      </c>
      <c r="D222" s="38">
        <v>20132367800</v>
      </c>
      <c r="E222" s="14" t="s">
        <v>16</v>
      </c>
      <c r="F222" s="15" t="s">
        <v>17</v>
      </c>
      <c r="G222" s="16" t="str">
        <f t="shared" si="28"/>
        <v>B Explotación de minas y canteras</v>
      </c>
      <c r="H222" s="14" t="str">
        <f t="shared" ref="H222:H253" si="30">LEFT(K222,2)</f>
        <v>07</v>
      </c>
      <c r="I222" s="17" t="s">
        <v>18</v>
      </c>
      <c r="J222" s="17" t="str">
        <f t="shared" si="26"/>
        <v>07 Extracción de minerales metalíferos</v>
      </c>
      <c r="K222" s="14" t="str">
        <f t="shared" ref="K222:K253" si="31">LEFT(M222,3)</f>
        <v>072</v>
      </c>
      <c r="L222" s="15" t="s">
        <v>19</v>
      </c>
      <c r="M222" s="18" t="s">
        <v>20</v>
      </c>
      <c r="N222" s="15" t="s">
        <v>21</v>
      </c>
      <c r="O222" s="16" t="str">
        <f t="shared" si="27"/>
        <v>0729 Extracción de otros minerales metalíferos no ferrosos</v>
      </c>
      <c r="P222" s="10">
        <v>6598.94</v>
      </c>
    </row>
    <row r="223" spans="1:16" s="12" customFormat="1" ht="24" x14ac:dyDescent="0.25">
      <c r="B223" s="13" t="s">
        <v>243</v>
      </c>
      <c r="C223" s="19">
        <v>2018</v>
      </c>
      <c r="D223" s="38">
        <v>20132367800</v>
      </c>
      <c r="E223" s="14" t="s">
        <v>16</v>
      </c>
      <c r="F223" s="15" t="s">
        <v>17</v>
      </c>
      <c r="G223" s="16" t="str">
        <f t="shared" si="28"/>
        <v>B Explotación de minas y canteras</v>
      </c>
      <c r="H223" s="14" t="str">
        <f t="shared" si="30"/>
        <v>07</v>
      </c>
      <c r="I223" s="17" t="s">
        <v>18</v>
      </c>
      <c r="J223" s="17" t="str">
        <f t="shared" si="26"/>
        <v>07 Extracción de minerales metalíferos</v>
      </c>
      <c r="K223" s="14" t="str">
        <f t="shared" si="31"/>
        <v>072</v>
      </c>
      <c r="L223" s="15" t="s">
        <v>19</v>
      </c>
      <c r="M223" s="18" t="s">
        <v>20</v>
      </c>
      <c r="N223" s="15" t="s">
        <v>21</v>
      </c>
      <c r="O223" s="16" t="str">
        <f t="shared" si="27"/>
        <v>0729 Extracción de otros minerales metalíferos no ferrosos</v>
      </c>
      <c r="P223" s="10">
        <v>6217.84</v>
      </c>
    </row>
    <row r="224" spans="1:16" s="12" customFormat="1" ht="24" x14ac:dyDescent="0.25">
      <c r="B224" s="13" t="s">
        <v>243</v>
      </c>
      <c r="C224" s="19">
        <v>2020</v>
      </c>
      <c r="D224" s="38">
        <v>20132367800</v>
      </c>
      <c r="E224" s="14" t="s">
        <v>16</v>
      </c>
      <c r="F224" s="15" t="s">
        <v>17</v>
      </c>
      <c r="G224" s="16" t="str">
        <f t="shared" si="28"/>
        <v>B Explotación de minas y canteras</v>
      </c>
      <c r="H224" s="14" t="str">
        <f t="shared" si="30"/>
        <v>07</v>
      </c>
      <c r="I224" s="17" t="s">
        <v>18</v>
      </c>
      <c r="J224" s="17" t="str">
        <f t="shared" si="26"/>
        <v>07 Extracción de minerales metalíferos</v>
      </c>
      <c r="K224" s="14" t="str">
        <f t="shared" si="31"/>
        <v>072</v>
      </c>
      <c r="L224" s="15" t="s">
        <v>19</v>
      </c>
      <c r="M224" s="18" t="s">
        <v>20</v>
      </c>
      <c r="N224" s="15" t="s">
        <v>21</v>
      </c>
      <c r="O224" s="16" t="str">
        <f t="shared" si="27"/>
        <v>0729 Extracción de otros minerales metalíferos no ferrosos</v>
      </c>
      <c r="P224" s="10">
        <v>1099.28</v>
      </c>
    </row>
    <row r="225" spans="1:16" s="12" customFormat="1" ht="24" x14ac:dyDescent="0.25">
      <c r="B225" s="13" t="s">
        <v>243</v>
      </c>
      <c r="C225" s="19">
        <v>2022</v>
      </c>
      <c r="D225" s="38">
        <v>20132367800</v>
      </c>
      <c r="E225" s="14" t="s">
        <v>16</v>
      </c>
      <c r="F225" s="15" t="s">
        <v>17</v>
      </c>
      <c r="G225" s="16" t="str">
        <f t="shared" si="28"/>
        <v>B Explotación de minas y canteras</v>
      </c>
      <c r="H225" s="14" t="str">
        <f t="shared" si="30"/>
        <v>07</v>
      </c>
      <c r="I225" s="17" t="s">
        <v>18</v>
      </c>
      <c r="J225" s="17" t="str">
        <f t="shared" si="26"/>
        <v>07 Extracción de minerales metalíferos</v>
      </c>
      <c r="K225" s="14" t="str">
        <f t="shared" si="31"/>
        <v>072</v>
      </c>
      <c r="L225" s="15" t="s">
        <v>19</v>
      </c>
      <c r="M225" s="18" t="s">
        <v>20</v>
      </c>
      <c r="N225" s="15" t="s">
        <v>21</v>
      </c>
      <c r="O225" s="16" t="str">
        <f t="shared" si="27"/>
        <v>0729 Extracción de otros minerales metalíferos no ferrosos</v>
      </c>
      <c r="P225" s="10">
        <v>574231.77</v>
      </c>
    </row>
    <row r="226" spans="1:16" s="12" customFormat="1" ht="24" x14ac:dyDescent="0.25">
      <c r="B226" s="13" t="s">
        <v>243</v>
      </c>
      <c r="C226" s="19">
        <v>2023</v>
      </c>
      <c r="D226" s="38">
        <v>20132367800</v>
      </c>
      <c r="E226" s="14" t="s">
        <v>16</v>
      </c>
      <c r="F226" s="15" t="s">
        <v>17</v>
      </c>
      <c r="G226" s="16" t="str">
        <f t="shared" si="28"/>
        <v>B Explotación de minas y canteras</v>
      </c>
      <c r="H226" s="14" t="str">
        <f t="shared" si="30"/>
        <v>07</v>
      </c>
      <c r="I226" s="17" t="s">
        <v>18</v>
      </c>
      <c r="J226" s="17" t="str">
        <f t="shared" si="26"/>
        <v>07 Extracción de minerales metalíferos</v>
      </c>
      <c r="K226" s="14" t="str">
        <f t="shared" si="31"/>
        <v>072</v>
      </c>
      <c r="L226" s="15" t="s">
        <v>19</v>
      </c>
      <c r="M226" s="18" t="s">
        <v>20</v>
      </c>
      <c r="N226" s="15" t="s">
        <v>21</v>
      </c>
      <c r="O226" s="16" t="str">
        <f t="shared" si="27"/>
        <v>0729 Extracción de otros minerales metalíferos no ferrosos</v>
      </c>
      <c r="P226" s="10">
        <v>50772.24</v>
      </c>
    </row>
    <row r="227" spans="1:16" s="12" customFormat="1" ht="24" x14ac:dyDescent="0.25">
      <c r="A227" s="12">
        <v>3</v>
      </c>
      <c r="B227" s="13" t="s">
        <v>243</v>
      </c>
      <c r="C227" s="19">
        <v>2025</v>
      </c>
      <c r="D227" s="38">
        <v>20132367800</v>
      </c>
      <c r="E227" s="14" t="s">
        <v>16</v>
      </c>
      <c r="F227" s="15" t="s">
        <v>17</v>
      </c>
      <c r="G227" s="16" t="str">
        <f t="shared" si="28"/>
        <v>B Explotación de minas y canteras</v>
      </c>
      <c r="H227" s="14" t="str">
        <f t="shared" si="30"/>
        <v>07</v>
      </c>
      <c r="I227" s="17" t="s">
        <v>18</v>
      </c>
      <c r="J227" s="17" t="str">
        <f t="shared" si="26"/>
        <v>07 Extracción de minerales metalíferos</v>
      </c>
      <c r="K227" s="14" t="str">
        <f t="shared" si="31"/>
        <v>072</v>
      </c>
      <c r="L227" s="15" t="s">
        <v>19</v>
      </c>
      <c r="M227" s="18" t="s">
        <v>20</v>
      </c>
      <c r="N227" s="15" t="s">
        <v>21</v>
      </c>
      <c r="O227" s="16" t="str">
        <f t="shared" si="27"/>
        <v>0729 Extracción de otros minerales metalíferos no ferrosos</v>
      </c>
      <c r="P227" s="10">
        <v>65953.460000000006</v>
      </c>
    </row>
    <row r="228" spans="1:16" s="12" customFormat="1" ht="24" x14ac:dyDescent="0.25">
      <c r="B228" s="22" t="s">
        <v>391</v>
      </c>
      <c r="C228" s="19">
        <v>2007</v>
      </c>
      <c r="D228" s="38">
        <v>20136150473</v>
      </c>
      <c r="E228" s="14" t="s">
        <v>16</v>
      </c>
      <c r="F228" s="15" t="s">
        <v>17</v>
      </c>
      <c r="G228" s="16" t="str">
        <f t="shared" si="28"/>
        <v>B Explotación de minas y canteras</v>
      </c>
      <c r="H228" s="14" t="str">
        <f t="shared" si="30"/>
        <v>07</v>
      </c>
      <c r="I228" s="17" t="s">
        <v>18</v>
      </c>
      <c r="J228" s="17" t="str">
        <f t="shared" si="26"/>
        <v>07 Extracción de minerales metalíferos</v>
      </c>
      <c r="K228" s="14" t="str">
        <f t="shared" si="31"/>
        <v>072</v>
      </c>
      <c r="L228" s="15" t="s">
        <v>19</v>
      </c>
      <c r="M228" s="18" t="s">
        <v>20</v>
      </c>
      <c r="N228" s="15" t="s">
        <v>21</v>
      </c>
      <c r="O228" s="16" t="str">
        <f t="shared" si="27"/>
        <v>0729 Extracción de otros minerales metalíferos no ferrosos</v>
      </c>
      <c r="P228" s="10">
        <v>914966.89</v>
      </c>
    </row>
    <row r="229" spans="1:16" s="12" customFormat="1" ht="24" x14ac:dyDescent="0.25">
      <c r="B229" s="22" t="s">
        <v>391</v>
      </c>
      <c r="C229" s="19">
        <v>2008</v>
      </c>
      <c r="D229" s="38">
        <v>20136150473</v>
      </c>
      <c r="E229" s="14" t="s">
        <v>16</v>
      </c>
      <c r="F229" s="15" t="s">
        <v>17</v>
      </c>
      <c r="G229" s="16" t="str">
        <f t="shared" si="28"/>
        <v>B Explotación de minas y canteras</v>
      </c>
      <c r="H229" s="14" t="str">
        <f t="shared" si="30"/>
        <v>07</v>
      </c>
      <c r="I229" s="17" t="s">
        <v>18</v>
      </c>
      <c r="J229" s="17" t="str">
        <f t="shared" si="26"/>
        <v>07 Extracción de minerales metalíferos</v>
      </c>
      <c r="K229" s="14" t="str">
        <f t="shared" si="31"/>
        <v>072</v>
      </c>
      <c r="L229" s="15" t="s">
        <v>19</v>
      </c>
      <c r="M229" s="18" t="s">
        <v>20</v>
      </c>
      <c r="N229" s="15" t="s">
        <v>21</v>
      </c>
      <c r="O229" s="16" t="str">
        <f t="shared" si="27"/>
        <v>0729 Extracción de otros minerales metalíferos no ferrosos</v>
      </c>
      <c r="P229" s="10">
        <v>1095613.01</v>
      </c>
    </row>
    <row r="230" spans="1:16" s="12" customFormat="1" ht="24" x14ac:dyDescent="0.25">
      <c r="B230" s="22" t="s">
        <v>391</v>
      </c>
      <c r="C230" s="19">
        <v>2009</v>
      </c>
      <c r="D230" s="38">
        <v>20136150473</v>
      </c>
      <c r="E230" s="14" t="s">
        <v>16</v>
      </c>
      <c r="F230" s="15" t="s">
        <v>17</v>
      </c>
      <c r="G230" s="16" t="str">
        <f t="shared" si="28"/>
        <v>B Explotación de minas y canteras</v>
      </c>
      <c r="H230" s="14" t="str">
        <f t="shared" si="30"/>
        <v>07</v>
      </c>
      <c r="I230" s="17" t="s">
        <v>18</v>
      </c>
      <c r="J230" s="17" t="str">
        <f t="shared" si="26"/>
        <v>07 Extracción de minerales metalíferos</v>
      </c>
      <c r="K230" s="14" t="str">
        <f t="shared" si="31"/>
        <v>072</v>
      </c>
      <c r="L230" s="15" t="s">
        <v>19</v>
      </c>
      <c r="M230" s="18" t="s">
        <v>20</v>
      </c>
      <c r="N230" s="15" t="s">
        <v>21</v>
      </c>
      <c r="O230" s="16" t="str">
        <f t="shared" si="27"/>
        <v>0729 Extracción de otros minerales metalíferos no ferrosos</v>
      </c>
      <c r="P230" s="10">
        <v>2117277.5699999998</v>
      </c>
    </row>
    <row r="231" spans="1:16" s="12" customFormat="1" ht="24" x14ac:dyDescent="0.25">
      <c r="B231" s="22" t="s">
        <v>391</v>
      </c>
      <c r="C231" s="19">
        <v>2010</v>
      </c>
      <c r="D231" s="38">
        <v>20136150473</v>
      </c>
      <c r="E231" s="14" t="s">
        <v>16</v>
      </c>
      <c r="F231" s="15" t="s">
        <v>17</v>
      </c>
      <c r="G231" s="16" t="str">
        <f t="shared" si="28"/>
        <v>B Explotación de minas y canteras</v>
      </c>
      <c r="H231" s="14" t="str">
        <f t="shared" si="30"/>
        <v>07</v>
      </c>
      <c r="I231" s="17" t="s">
        <v>18</v>
      </c>
      <c r="J231" s="17" t="str">
        <f t="shared" si="26"/>
        <v>07 Extracción de minerales metalíferos</v>
      </c>
      <c r="K231" s="14" t="str">
        <f t="shared" si="31"/>
        <v>072</v>
      </c>
      <c r="L231" s="15" t="s">
        <v>19</v>
      </c>
      <c r="M231" s="18" t="s">
        <v>20</v>
      </c>
      <c r="N231" s="15" t="s">
        <v>21</v>
      </c>
      <c r="O231" s="16" t="str">
        <f t="shared" si="27"/>
        <v>0729 Extracción de otros minerales metalíferos no ferrosos</v>
      </c>
      <c r="P231" s="10">
        <v>2851357.9400000004</v>
      </c>
    </row>
    <row r="232" spans="1:16" s="12" customFormat="1" ht="24" x14ac:dyDescent="0.25">
      <c r="B232" s="22" t="s">
        <v>391</v>
      </c>
      <c r="C232" s="19">
        <v>2011</v>
      </c>
      <c r="D232" s="38">
        <v>20136150473</v>
      </c>
      <c r="E232" s="14" t="s">
        <v>16</v>
      </c>
      <c r="F232" s="15" t="s">
        <v>17</v>
      </c>
      <c r="G232" s="16" t="str">
        <f t="shared" si="28"/>
        <v>B Explotación de minas y canteras</v>
      </c>
      <c r="H232" s="14" t="str">
        <f t="shared" si="30"/>
        <v>07</v>
      </c>
      <c r="I232" s="17" t="s">
        <v>18</v>
      </c>
      <c r="J232" s="17" t="str">
        <f t="shared" si="26"/>
        <v>07 Extracción de minerales metalíferos</v>
      </c>
      <c r="K232" s="14" t="str">
        <f t="shared" si="31"/>
        <v>072</v>
      </c>
      <c r="L232" s="15" t="s">
        <v>19</v>
      </c>
      <c r="M232" s="18" t="s">
        <v>20</v>
      </c>
      <c r="N232" s="15" t="s">
        <v>21</v>
      </c>
      <c r="O232" s="16" t="str">
        <f t="shared" si="27"/>
        <v>0729 Extracción de otros minerales metalíferos no ferrosos</v>
      </c>
      <c r="P232" s="10">
        <v>7026114.1600000001</v>
      </c>
    </row>
    <row r="233" spans="1:16" s="12" customFormat="1" ht="24" x14ac:dyDescent="0.25">
      <c r="B233" s="22" t="s">
        <v>391</v>
      </c>
      <c r="C233" s="19">
        <v>2013</v>
      </c>
      <c r="D233" s="38">
        <v>20136150473</v>
      </c>
      <c r="E233" s="14" t="s">
        <v>16</v>
      </c>
      <c r="F233" s="15" t="s">
        <v>17</v>
      </c>
      <c r="G233" s="16" t="str">
        <f t="shared" si="28"/>
        <v>B Explotación de minas y canteras</v>
      </c>
      <c r="H233" s="14" t="str">
        <f t="shared" si="30"/>
        <v>07</v>
      </c>
      <c r="I233" s="17" t="s">
        <v>18</v>
      </c>
      <c r="J233" s="17" t="str">
        <f t="shared" si="26"/>
        <v>07 Extracción de minerales metalíferos</v>
      </c>
      <c r="K233" s="14" t="str">
        <f t="shared" si="31"/>
        <v>072</v>
      </c>
      <c r="L233" s="15" t="s">
        <v>19</v>
      </c>
      <c r="M233" s="18" t="s">
        <v>20</v>
      </c>
      <c r="N233" s="15" t="s">
        <v>21</v>
      </c>
      <c r="O233" s="16" t="str">
        <f t="shared" si="27"/>
        <v>0729 Extracción de otros minerales metalíferos no ferrosos</v>
      </c>
      <c r="P233" s="10">
        <v>634605.04</v>
      </c>
    </row>
    <row r="234" spans="1:16" s="12" customFormat="1" ht="24" x14ac:dyDescent="0.25">
      <c r="B234" s="22" t="s">
        <v>391</v>
      </c>
      <c r="C234" s="19">
        <v>2014</v>
      </c>
      <c r="D234" s="38">
        <v>20136150473</v>
      </c>
      <c r="E234" s="14" t="s">
        <v>16</v>
      </c>
      <c r="F234" s="15" t="s">
        <v>17</v>
      </c>
      <c r="G234" s="16" t="str">
        <f t="shared" si="28"/>
        <v>B Explotación de minas y canteras</v>
      </c>
      <c r="H234" s="14" t="str">
        <f t="shared" si="30"/>
        <v>07</v>
      </c>
      <c r="I234" s="17" t="s">
        <v>18</v>
      </c>
      <c r="J234" s="17" t="str">
        <f t="shared" si="26"/>
        <v>07 Extracción de minerales metalíferos</v>
      </c>
      <c r="K234" s="14" t="str">
        <f t="shared" si="31"/>
        <v>072</v>
      </c>
      <c r="L234" s="15" t="s">
        <v>19</v>
      </c>
      <c r="M234" s="18" t="s">
        <v>20</v>
      </c>
      <c r="N234" s="15" t="s">
        <v>21</v>
      </c>
      <c r="O234" s="16" t="str">
        <f t="shared" si="27"/>
        <v>0729 Extracción de otros minerales metalíferos no ferrosos</v>
      </c>
      <c r="P234" s="10">
        <v>1215024.94</v>
      </c>
    </row>
    <row r="235" spans="1:16" s="12" customFormat="1" ht="24" x14ac:dyDescent="0.25">
      <c r="B235" s="22" t="s">
        <v>391</v>
      </c>
      <c r="C235" s="19">
        <v>2015</v>
      </c>
      <c r="D235" s="38">
        <v>20136150473</v>
      </c>
      <c r="E235" s="14" t="s">
        <v>16</v>
      </c>
      <c r="F235" s="15" t="s">
        <v>17</v>
      </c>
      <c r="G235" s="16" t="str">
        <f t="shared" si="28"/>
        <v>B Explotación de minas y canteras</v>
      </c>
      <c r="H235" s="14" t="str">
        <f t="shared" si="30"/>
        <v>07</v>
      </c>
      <c r="I235" s="17" t="s">
        <v>18</v>
      </c>
      <c r="J235" s="17" t="str">
        <f t="shared" si="26"/>
        <v>07 Extracción de minerales metalíferos</v>
      </c>
      <c r="K235" s="14" t="str">
        <f t="shared" si="31"/>
        <v>072</v>
      </c>
      <c r="L235" s="15" t="s">
        <v>19</v>
      </c>
      <c r="M235" s="18" t="s">
        <v>20</v>
      </c>
      <c r="N235" s="15" t="s">
        <v>21</v>
      </c>
      <c r="O235" s="16" t="str">
        <f t="shared" si="27"/>
        <v>0729 Extracción de otros minerales metalíferos no ferrosos</v>
      </c>
      <c r="P235" s="10">
        <v>2567907.87</v>
      </c>
    </row>
    <row r="236" spans="1:16" s="12" customFormat="1" ht="24" x14ac:dyDescent="0.25">
      <c r="B236" s="22" t="s">
        <v>391</v>
      </c>
      <c r="C236" s="19">
        <v>2016</v>
      </c>
      <c r="D236" s="38">
        <v>20136150473</v>
      </c>
      <c r="E236" s="14" t="s">
        <v>16</v>
      </c>
      <c r="F236" s="15" t="s">
        <v>17</v>
      </c>
      <c r="G236" s="16" t="str">
        <f t="shared" si="28"/>
        <v>B Explotación de minas y canteras</v>
      </c>
      <c r="H236" s="14" t="str">
        <f t="shared" si="30"/>
        <v>07</v>
      </c>
      <c r="I236" s="17" t="s">
        <v>18</v>
      </c>
      <c r="J236" s="17" t="str">
        <f t="shared" si="26"/>
        <v>07 Extracción de minerales metalíferos</v>
      </c>
      <c r="K236" s="14" t="str">
        <f t="shared" si="31"/>
        <v>072</v>
      </c>
      <c r="L236" s="15" t="s">
        <v>19</v>
      </c>
      <c r="M236" s="18" t="s">
        <v>20</v>
      </c>
      <c r="N236" s="15" t="s">
        <v>21</v>
      </c>
      <c r="O236" s="16" t="str">
        <f t="shared" si="27"/>
        <v>0729 Extracción de otros minerales metalíferos no ferrosos</v>
      </c>
      <c r="P236" s="10">
        <v>1542662.9</v>
      </c>
    </row>
    <row r="237" spans="1:16" s="12" customFormat="1" ht="24" x14ac:dyDescent="0.25">
      <c r="B237" s="22" t="s">
        <v>391</v>
      </c>
      <c r="C237" s="19">
        <v>2017</v>
      </c>
      <c r="D237" s="38">
        <v>20136150473</v>
      </c>
      <c r="E237" s="14" t="s">
        <v>16</v>
      </c>
      <c r="F237" s="15" t="s">
        <v>17</v>
      </c>
      <c r="G237" s="16" t="str">
        <f t="shared" si="28"/>
        <v>B Explotación de minas y canteras</v>
      </c>
      <c r="H237" s="14" t="str">
        <f t="shared" si="30"/>
        <v>07</v>
      </c>
      <c r="I237" s="17" t="s">
        <v>18</v>
      </c>
      <c r="J237" s="17" t="str">
        <f t="shared" si="26"/>
        <v>07 Extracción de minerales metalíferos</v>
      </c>
      <c r="K237" s="14" t="str">
        <f t="shared" si="31"/>
        <v>072</v>
      </c>
      <c r="L237" s="15" t="s">
        <v>19</v>
      </c>
      <c r="M237" s="18" t="s">
        <v>20</v>
      </c>
      <c r="N237" s="15" t="s">
        <v>21</v>
      </c>
      <c r="O237" s="16" t="str">
        <f t="shared" si="27"/>
        <v>0729 Extracción de otros minerales metalíferos no ferrosos</v>
      </c>
      <c r="P237" s="10">
        <v>1435089.2</v>
      </c>
    </row>
    <row r="238" spans="1:16" s="12" customFormat="1" ht="24" x14ac:dyDescent="0.25">
      <c r="B238" s="22" t="s">
        <v>391</v>
      </c>
      <c r="C238" s="19">
        <v>2018</v>
      </c>
      <c r="D238" s="38">
        <v>20136150473</v>
      </c>
      <c r="E238" s="14" t="s">
        <v>16</v>
      </c>
      <c r="F238" s="15" t="s">
        <v>17</v>
      </c>
      <c r="G238" s="16" t="str">
        <f t="shared" si="28"/>
        <v>B Explotación de minas y canteras</v>
      </c>
      <c r="H238" s="14" t="str">
        <f t="shared" si="30"/>
        <v>07</v>
      </c>
      <c r="I238" s="17" t="s">
        <v>18</v>
      </c>
      <c r="J238" s="17" t="str">
        <f t="shared" si="26"/>
        <v>07 Extracción de minerales metalíferos</v>
      </c>
      <c r="K238" s="14" t="str">
        <f t="shared" si="31"/>
        <v>072</v>
      </c>
      <c r="L238" s="15" t="s">
        <v>19</v>
      </c>
      <c r="M238" s="18" t="s">
        <v>20</v>
      </c>
      <c r="N238" s="15" t="s">
        <v>21</v>
      </c>
      <c r="O238" s="16" t="str">
        <f t="shared" si="27"/>
        <v>0729 Extracción de otros minerales metalíferos no ferrosos</v>
      </c>
      <c r="P238" s="10">
        <v>1470850.74</v>
      </c>
    </row>
    <row r="239" spans="1:16" s="12" customFormat="1" ht="24" x14ac:dyDescent="0.25">
      <c r="B239" s="22" t="s">
        <v>391</v>
      </c>
      <c r="C239" s="19">
        <v>2021</v>
      </c>
      <c r="D239" s="38">
        <v>20136150473</v>
      </c>
      <c r="E239" s="14" t="s">
        <v>16</v>
      </c>
      <c r="F239" s="15" t="s">
        <v>17</v>
      </c>
      <c r="G239" s="16" t="str">
        <f t="shared" si="28"/>
        <v>B Explotación de minas y canteras</v>
      </c>
      <c r="H239" s="14" t="str">
        <f t="shared" si="30"/>
        <v>07</v>
      </c>
      <c r="I239" s="17" t="s">
        <v>18</v>
      </c>
      <c r="J239" s="17" t="str">
        <f t="shared" si="26"/>
        <v>07 Extracción de minerales metalíferos</v>
      </c>
      <c r="K239" s="14" t="str">
        <f t="shared" si="31"/>
        <v>072</v>
      </c>
      <c r="L239" s="15" t="s">
        <v>19</v>
      </c>
      <c r="M239" s="18" t="s">
        <v>20</v>
      </c>
      <c r="N239" s="15" t="s">
        <v>21</v>
      </c>
      <c r="O239" s="16" t="str">
        <f t="shared" si="27"/>
        <v>0729 Extracción de otros minerales metalíferos no ferrosos</v>
      </c>
      <c r="P239" s="10">
        <v>1319</v>
      </c>
    </row>
    <row r="240" spans="1:16" s="12" customFormat="1" ht="24" x14ac:dyDescent="0.25">
      <c r="B240" s="22" t="s">
        <v>391</v>
      </c>
      <c r="C240" s="19">
        <v>2024</v>
      </c>
      <c r="D240" s="38">
        <v>20136150473</v>
      </c>
      <c r="E240" s="14" t="s">
        <v>16</v>
      </c>
      <c r="F240" s="15" t="s">
        <v>17</v>
      </c>
      <c r="G240" s="16" t="str">
        <f t="shared" si="28"/>
        <v>B Explotación de minas y canteras</v>
      </c>
      <c r="H240" s="14" t="str">
        <f t="shared" si="30"/>
        <v>07</v>
      </c>
      <c r="I240" s="17" t="s">
        <v>18</v>
      </c>
      <c r="J240" s="17" t="str">
        <f t="shared" si="26"/>
        <v>07 Extracción de minerales metalíferos</v>
      </c>
      <c r="K240" s="14" t="str">
        <f t="shared" si="31"/>
        <v>072</v>
      </c>
      <c r="L240" s="15" t="s">
        <v>19</v>
      </c>
      <c r="M240" s="18" t="s">
        <v>20</v>
      </c>
      <c r="N240" s="15" t="s">
        <v>21</v>
      </c>
      <c r="O240" s="16" t="str">
        <f t="shared" si="27"/>
        <v>0729 Extracción de otros minerales metalíferos no ferrosos</v>
      </c>
      <c r="P240" s="10">
        <v>1058.72</v>
      </c>
    </row>
    <row r="241" spans="1:16" s="12" customFormat="1" ht="24" x14ac:dyDescent="0.25">
      <c r="A241" s="12">
        <v>31</v>
      </c>
      <c r="B241" s="22" t="s">
        <v>391</v>
      </c>
      <c r="C241" s="19">
        <v>2025</v>
      </c>
      <c r="D241" s="38">
        <v>20136150473</v>
      </c>
      <c r="E241" s="14" t="s">
        <v>16</v>
      </c>
      <c r="F241" s="15" t="s">
        <v>17</v>
      </c>
      <c r="G241" s="16" t="str">
        <f t="shared" si="28"/>
        <v>B Explotación de minas y canteras</v>
      </c>
      <c r="H241" s="14" t="str">
        <f t="shared" si="30"/>
        <v>07</v>
      </c>
      <c r="I241" s="17" t="s">
        <v>18</v>
      </c>
      <c r="J241" s="17" t="str">
        <f t="shared" si="26"/>
        <v>07 Extracción de minerales metalíferos</v>
      </c>
      <c r="K241" s="14" t="str">
        <f t="shared" si="31"/>
        <v>072</v>
      </c>
      <c r="L241" s="15" t="s">
        <v>19</v>
      </c>
      <c r="M241" s="18" t="s">
        <v>20</v>
      </c>
      <c r="N241" s="15" t="s">
        <v>21</v>
      </c>
      <c r="O241" s="16" t="str">
        <f t="shared" si="27"/>
        <v>0729 Extracción de otros minerales metalíferos no ferrosos</v>
      </c>
      <c r="P241" s="10">
        <v>167477.46</v>
      </c>
    </row>
    <row r="242" spans="1:16" s="12" customFormat="1" ht="36" x14ac:dyDescent="0.25">
      <c r="B242" s="13" t="s">
        <v>286</v>
      </c>
      <c r="C242" s="19">
        <v>2022</v>
      </c>
      <c r="D242" s="38">
        <v>20137015987</v>
      </c>
      <c r="E242" s="14" t="s">
        <v>42</v>
      </c>
      <c r="F242" s="15" t="s">
        <v>43</v>
      </c>
      <c r="G242" s="16" t="str">
        <f t="shared" si="28"/>
        <v>G Comercio al por mayor y al por menor; reparación de vehículos automotores y motocicletas</v>
      </c>
      <c r="H242" s="14" t="str">
        <f t="shared" si="30"/>
        <v>47</v>
      </c>
      <c r="I242" s="17" t="s">
        <v>44</v>
      </c>
      <c r="J242" s="17" t="str">
        <f t="shared" si="26"/>
        <v>47 Comercio al por mayor, excepto el de vehículos automotores y motocicletas</v>
      </c>
      <c r="K242" s="14" t="str">
        <f t="shared" si="31"/>
        <v>477</v>
      </c>
      <c r="L242" s="15" t="s">
        <v>45</v>
      </c>
      <c r="M242" s="18">
        <v>4772</v>
      </c>
      <c r="N242" s="15" t="s">
        <v>287</v>
      </c>
      <c r="O242" s="16" t="str">
        <f t="shared" si="27"/>
        <v>4772 Comercio al por mayor y menor /venta al por menor de productos farmaceúticos</v>
      </c>
      <c r="P242" s="10">
        <v>11431.31</v>
      </c>
    </row>
    <row r="243" spans="1:16" s="12" customFormat="1" ht="24" x14ac:dyDescent="0.25">
      <c r="B243" s="13" t="s">
        <v>271</v>
      </c>
      <c r="C243" s="19">
        <v>2021</v>
      </c>
      <c r="D243" s="38">
        <v>20137025354</v>
      </c>
      <c r="E243" s="14" t="s">
        <v>16</v>
      </c>
      <c r="F243" s="15" t="s">
        <v>17</v>
      </c>
      <c r="G243" s="16" t="str">
        <f t="shared" si="28"/>
        <v>B Explotación de minas y canteras</v>
      </c>
      <c r="H243" s="14" t="str">
        <f t="shared" si="30"/>
        <v>07</v>
      </c>
      <c r="I243" s="17" t="s">
        <v>18</v>
      </c>
      <c r="J243" s="17" t="str">
        <f t="shared" si="26"/>
        <v>07 Extracción de minerales metalíferos</v>
      </c>
      <c r="K243" s="14" t="str">
        <f t="shared" si="31"/>
        <v>072</v>
      </c>
      <c r="L243" s="15" t="s">
        <v>19</v>
      </c>
      <c r="M243" s="18" t="s">
        <v>20</v>
      </c>
      <c r="N243" s="15" t="s">
        <v>21</v>
      </c>
      <c r="O243" s="16" t="str">
        <f t="shared" si="27"/>
        <v>0729 Extracción de otros minerales metalíferos no ferrosos</v>
      </c>
      <c r="P243" s="10">
        <v>1507263.81</v>
      </c>
    </row>
    <row r="244" spans="1:16" s="35" customFormat="1" ht="24" x14ac:dyDescent="0.25">
      <c r="A244" s="12"/>
      <c r="B244" s="13" t="s">
        <v>271</v>
      </c>
      <c r="C244" s="19">
        <v>2022</v>
      </c>
      <c r="D244" s="38">
        <v>20137025354</v>
      </c>
      <c r="E244" s="14" t="s">
        <v>16</v>
      </c>
      <c r="F244" s="15" t="s">
        <v>17</v>
      </c>
      <c r="G244" s="16" t="str">
        <f t="shared" si="28"/>
        <v>B Explotación de minas y canteras</v>
      </c>
      <c r="H244" s="14" t="str">
        <f t="shared" si="30"/>
        <v>07</v>
      </c>
      <c r="I244" s="17" t="s">
        <v>18</v>
      </c>
      <c r="J244" s="17" t="str">
        <f t="shared" si="26"/>
        <v>07 Extracción de minerales metalíferos</v>
      </c>
      <c r="K244" s="14" t="str">
        <f t="shared" si="31"/>
        <v>072</v>
      </c>
      <c r="L244" s="15" t="s">
        <v>19</v>
      </c>
      <c r="M244" s="18" t="s">
        <v>20</v>
      </c>
      <c r="N244" s="15" t="s">
        <v>21</v>
      </c>
      <c r="O244" s="16" t="str">
        <f t="shared" si="27"/>
        <v>0729 Extracción de otros minerales metalíferos no ferrosos</v>
      </c>
      <c r="P244" s="10">
        <v>2223227.77</v>
      </c>
    </row>
    <row r="245" spans="1:16" s="12" customFormat="1" ht="24" x14ac:dyDescent="0.25">
      <c r="B245" s="13" t="s">
        <v>271</v>
      </c>
      <c r="C245" s="19">
        <v>2023</v>
      </c>
      <c r="D245" s="38">
        <v>20137025354</v>
      </c>
      <c r="E245" s="14" t="s">
        <v>16</v>
      </c>
      <c r="F245" s="15" t="s">
        <v>17</v>
      </c>
      <c r="G245" s="16" t="str">
        <f t="shared" si="28"/>
        <v>B Explotación de minas y canteras</v>
      </c>
      <c r="H245" s="14" t="str">
        <f t="shared" si="30"/>
        <v>07</v>
      </c>
      <c r="I245" s="17" t="s">
        <v>18</v>
      </c>
      <c r="J245" s="17" t="str">
        <f t="shared" si="26"/>
        <v>07 Extracción de minerales metalíferos</v>
      </c>
      <c r="K245" s="14" t="str">
        <f t="shared" si="31"/>
        <v>072</v>
      </c>
      <c r="L245" s="15" t="s">
        <v>19</v>
      </c>
      <c r="M245" s="18" t="s">
        <v>20</v>
      </c>
      <c r="N245" s="15" t="s">
        <v>21</v>
      </c>
      <c r="O245" s="16" t="str">
        <f t="shared" si="27"/>
        <v>0729 Extracción de otros minerales metalíferos no ferrosos</v>
      </c>
      <c r="P245" s="10">
        <v>5660.02</v>
      </c>
    </row>
    <row r="246" spans="1:16" s="12" customFormat="1" ht="24" x14ac:dyDescent="0.25">
      <c r="B246" s="13" t="s">
        <v>15</v>
      </c>
      <c r="C246" s="19">
        <v>1998</v>
      </c>
      <c r="D246" s="38">
        <v>20137291313</v>
      </c>
      <c r="E246" s="14" t="s">
        <v>16</v>
      </c>
      <c r="F246" s="15" t="s">
        <v>17</v>
      </c>
      <c r="G246" s="16" t="str">
        <f t="shared" si="28"/>
        <v>B Explotación de minas y canteras</v>
      </c>
      <c r="H246" s="14" t="str">
        <f t="shared" si="30"/>
        <v>07</v>
      </c>
      <c r="I246" s="17" t="s">
        <v>18</v>
      </c>
      <c r="J246" s="17" t="str">
        <f t="shared" si="26"/>
        <v>07 Extracción de minerales metalíferos</v>
      </c>
      <c r="K246" s="14" t="str">
        <f t="shared" si="31"/>
        <v>072</v>
      </c>
      <c r="L246" s="15" t="s">
        <v>19</v>
      </c>
      <c r="M246" s="18" t="s">
        <v>20</v>
      </c>
      <c r="N246" s="15" t="s">
        <v>21</v>
      </c>
      <c r="O246" s="16" t="str">
        <f t="shared" si="27"/>
        <v>0729 Extracción de otros minerales metalíferos no ferrosos</v>
      </c>
      <c r="P246" s="10">
        <v>23878120</v>
      </c>
    </row>
    <row r="247" spans="1:16" s="12" customFormat="1" ht="24" x14ac:dyDescent="0.25">
      <c r="B247" s="13" t="s">
        <v>15</v>
      </c>
      <c r="C247" s="19">
        <v>1999</v>
      </c>
      <c r="D247" s="38">
        <v>20137291313</v>
      </c>
      <c r="E247" s="14" t="s">
        <v>16</v>
      </c>
      <c r="F247" s="15" t="s">
        <v>17</v>
      </c>
      <c r="G247" s="16" t="str">
        <f t="shared" si="28"/>
        <v>B Explotación de minas y canteras</v>
      </c>
      <c r="H247" s="14" t="str">
        <f t="shared" si="30"/>
        <v>07</v>
      </c>
      <c r="I247" s="17" t="s">
        <v>18</v>
      </c>
      <c r="J247" s="17" t="str">
        <f t="shared" si="26"/>
        <v>07 Extracción de minerales metalíferos</v>
      </c>
      <c r="K247" s="14" t="str">
        <f t="shared" si="31"/>
        <v>072</v>
      </c>
      <c r="L247" s="15" t="s">
        <v>19</v>
      </c>
      <c r="M247" s="18" t="s">
        <v>20</v>
      </c>
      <c r="N247" s="15" t="s">
        <v>21</v>
      </c>
      <c r="O247" s="16" t="str">
        <f t="shared" si="27"/>
        <v>0729 Extracción de otros minerales metalíferos no ferrosos</v>
      </c>
      <c r="P247" s="10">
        <v>19773086</v>
      </c>
    </row>
    <row r="248" spans="1:16" s="12" customFormat="1" ht="24" x14ac:dyDescent="0.25">
      <c r="B248" s="13" t="s">
        <v>15</v>
      </c>
      <c r="C248" s="19">
        <v>2000</v>
      </c>
      <c r="D248" s="38">
        <v>20137291313</v>
      </c>
      <c r="E248" s="14" t="s">
        <v>16</v>
      </c>
      <c r="F248" s="15" t="s">
        <v>17</v>
      </c>
      <c r="G248" s="16" t="str">
        <f t="shared" si="28"/>
        <v>B Explotación de minas y canteras</v>
      </c>
      <c r="H248" s="14" t="str">
        <f t="shared" si="30"/>
        <v>07</v>
      </c>
      <c r="I248" s="17" t="s">
        <v>18</v>
      </c>
      <c r="J248" s="17" t="str">
        <f t="shared" si="26"/>
        <v>07 Extracción de minerales metalíferos</v>
      </c>
      <c r="K248" s="14" t="str">
        <f t="shared" si="31"/>
        <v>072</v>
      </c>
      <c r="L248" s="15" t="s">
        <v>19</v>
      </c>
      <c r="M248" s="18" t="s">
        <v>20</v>
      </c>
      <c r="N248" s="15" t="s">
        <v>21</v>
      </c>
      <c r="O248" s="16" t="str">
        <f t="shared" si="27"/>
        <v>0729 Extracción de otros minerales metalíferos no ferrosos</v>
      </c>
      <c r="P248" s="10">
        <v>16330473</v>
      </c>
    </row>
    <row r="249" spans="1:16" s="12" customFormat="1" ht="24" x14ac:dyDescent="0.25">
      <c r="B249" s="13" t="s">
        <v>15</v>
      </c>
      <c r="C249" s="19">
        <v>2001</v>
      </c>
      <c r="D249" s="38">
        <v>20137291313</v>
      </c>
      <c r="E249" s="14" t="s">
        <v>16</v>
      </c>
      <c r="F249" s="15" t="s">
        <v>17</v>
      </c>
      <c r="G249" s="16" t="str">
        <f t="shared" si="28"/>
        <v>B Explotación de minas y canteras</v>
      </c>
      <c r="H249" s="14" t="str">
        <f t="shared" si="30"/>
        <v>07</v>
      </c>
      <c r="I249" s="17" t="s">
        <v>18</v>
      </c>
      <c r="J249" s="17" t="str">
        <f t="shared" si="26"/>
        <v>07 Extracción de minerales metalíferos</v>
      </c>
      <c r="K249" s="14" t="str">
        <f t="shared" si="31"/>
        <v>072</v>
      </c>
      <c r="L249" s="15" t="s">
        <v>19</v>
      </c>
      <c r="M249" s="18" t="s">
        <v>20</v>
      </c>
      <c r="N249" s="15" t="s">
        <v>21</v>
      </c>
      <c r="O249" s="16" t="str">
        <f t="shared" si="27"/>
        <v>0729 Extracción de otros minerales metalíferos no ferrosos</v>
      </c>
      <c r="P249" s="10">
        <v>1984.99</v>
      </c>
    </row>
    <row r="250" spans="1:16" s="12" customFormat="1" ht="24" x14ac:dyDescent="0.25">
      <c r="B250" s="13" t="s">
        <v>15</v>
      </c>
      <c r="C250" s="19">
        <v>2003</v>
      </c>
      <c r="D250" s="38">
        <v>20137291313</v>
      </c>
      <c r="E250" s="14" t="s">
        <v>16</v>
      </c>
      <c r="F250" s="15" t="s">
        <v>17</v>
      </c>
      <c r="G250" s="16" t="str">
        <f t="shared" si="28"/>
        <v>B Explotación de minas y canteras</v>
      </c>
      <c r="H250" s="14" t="str">
        <f t="shared" si="30"/>
        <v>07</v>
      </c>
      <c r="I250" s="17" t="s">
        <v>18</v>
      </c>
      <c r="J250" s="17" t="str">
        <f t="shared" si="26"/>
        <v>07 Extracción de minerales metalíferos</v>
      </c>
      <c r="K250" s="14" t="str">
        <f t="shared" si="31"/>
        <v>072</v>
      </c>
      <c r="L250" s="15" t="s">
        <v>19</v>
      </c>
      <c r="M250" s="18" t="s">
        <v>20</v>
      </c>
      <c r="N250" s="15" t="s">
        <v>21</v>
      </c>
      <c r="O250" s="16" t="str">
        <f t="shared" si="27"/>
        <v>0729 Extracción de otros minerales metalíferos no ferrosos</v>
      </c>
      <c r="P250" s="10">
        <v>1011829.3599999999</v>
      </c>
    </row>
    <row r="251" spans="1:16" s="12" customFormat="1" ht="24" x14ac:dyDescent="0.25">
      <c r="B251" s="13" t="s">
        <v>15</v>
      </c>
      <c r="C251" s="19">
        <v>2004</v>
      </c>
      <c r="D251" s="38">
        <v>20137291313</v>
      </c>
      <c r="E251" s="14" t="s">
        <v>16</v>
      </c>
      <c r="F251" s="15" t="s">
        <v>17</v>
      </c>
      <c r="G251" s="16" t="str">
        <f t="shared" si="28"/>
        <v>B Explotación de minas y canteras</v>
      </c>
      <c r="H251" s="14" t="str">
        <f t="shared" si="30"/>
        <v>07</v>
      </c>
      <c r="I251" s="17" t="s">
        <v>18</v>
      </c>
      <c r="J251" s="17" t="str">
        <f t="shared" si="26"/>
        <v>07 Extracción de minerales metalíferos</v>
      </c>
      <c r="K251" s="14" t="str">
        <f t="shared" si="31"/>
        <v>072</v>
      </c>
      <c r="L251" s="15" t="s">
        <v>19</v>
      </c>
      <c r="M251" s="18" t="s">
        <v>20</v>
      </c>
      <c r="N251" s="15" t="s">
        <v>21</v>
      </c>
      <c r="O251" s="16" t="str">
        <f t="shared" si="27"/>
        <v>0729 Extracción de otros minerales metalíferos no ferrosos</v>
      </c>
      <c r="P251" s="10">
        <v>35745656.700000003</v>
      </c>
    </row>
    <row r="252" spans="1:16" s="12" customFormat="1" ht="24" x14ac:dyDescent="0.25">
      <c r="B252" s="13" t="s">
        <v>15</v>
      </c>
      <c r="C252" s="19">
        <v>2005</v>
      </c>
      <c r="D252" s="38">
        <v>20137291313</v>
      </c>
      <c r="E252" s="14" t="s">
        <v>16</v>
      </c>
      <c r="F252" s="15" t="s">
        <v>17</v>
      </c>
      <c r="G252" s="16" t="str">
        <f t="shared" si="28"/>
        <v>B Explotación de minas y canteras</v>
      </c>
      <c r="H252" s="14" t="str">
        <f t="shared" si="30"/>
        <v>07</v>
      </c>
      <c r="I252" s="17" t="s">
        <v>18</v>
      </c>
      <c r="J252" s="17" t="str">
        <f t="shared" si="26"/>
        <v>07 Extracción de minerales metalíferos</v>
      </c>
      <c r="K252" s="14" t="str">
        <f t="shared" si="31"/>
        <v>072</v>
      </c>
      <c r="L252" s="15" t="s">
        <v>19</v>
      </c>
      <c r="M252" s="18" t="s">
        <v>20</v>
      </c>
      <c r="N252" s="15" t="s">
        <v>21</v>
      </c>
      <c r="O252" s="16" t="str">
        <f t="shared" si="27"/>
        <v>0729 Extracción de otros minerales metalíferos no ferrosos</v>
      </c>
      <c r="P252" s="10">
        <v>7172659.9100000001</v>
      </c>
    </row>
    <row r="253" spans="1:16" s="12" customFormat="1" ht="24" x14ac:dyDescent="0.25">
      <c r="B253" s="13" t="s">
        <v>15</v>
      </c>
      <c r="C253" s="19">
        <v>2006</v>
      </c>
      <c r="D253" s="38">
        <v>20137291313</v>
      </c>
      <c r="E253" s="14" t="s">
        <v>16</v>
      </c>
      <c r="F253" s="15" t="s">
        <v>17</v>
      </c>
      <c r="G253" s="16" t="str">
        <f t="shared" si="28"/>
        <v>B Explotación de minas y canteras</v>
      </c>
      <c r="H253" s="14" t="str">
        <f t="shared" si="30"/>
        <v>07</v>
      </c>
      <c r="I253" s="17" t="s">
        <v>18</v>
      </c>
      <c r="J253" s="17" t="str">
        <f t="shared" si="26"/>
        <v>07 Extracción de minerales metalíferos</v>
      </c>
      <c r="K253" s="14" t="str">
        <f t="shared" si="31"/>
        <v>072</v>
      </c>
      <c r="L253" s="15" t="s">
        <v>19</v>
      </c>
      <c r="M253" s="18" t="s">
        <v>20</v>
      </c>
      <c r="N253" s="15" t="s">
        <v>21</v>
      </c>
      <c r="O253" s="16" t="str">
        <f t="shared" si="27"/>
        <v>0729 Extracción de otros minerales metalíferos no ferrosos</v>
      </c>
      <c r="P253" s="10">
        <v>7312318.5499999998</v>
      </c>
    </row>
    <row r="254" spans="1:16" s="12" customFormat="1" ht="24" x14ac:dyDescent="0.25">
      <c r="B254" s="13" t="s">
        <v>15</v>
      </c>
      <c r="C254" s="19">
        <v>2007</v>
      </c>
      <c r="D254" s="38">
        <v>20137291313</v>
      </c>
      <c r="E254" s="14" t="s">
        <v>16</v>
      </c>
      <c r="F254" s="15" t="s">
        <v>17</v>
      </c>
      <c r="G254" s="16" t="str">
        <f t="shared" si="28"/>
        <v>B Explotación de minas y canteras</v>
      </c>
      <c r="H254" s="14" t="str">
        <f t="shared" ref="H254:H285" si="32">LEFT(K254,2)</f>
        <v>07</v>
      </c>
      <c r="I254" s="17" t="s">
        <v>18</v>
      </c>
      <c r="J254" s="17" t="str">
        <f t="shared" si="26"/>
        <v>07 Extracción de minerales metalíferos</v>
      </c>
      <c r="K254" s="14" t="str">
        <f t="shared" ref="K254:K285" si="33">LEFT(M254,3)</f>
        <v>072</v>
      </c>
      <c r="L254" s="15" t="s">
        <v>19</v>
      </c>
      <c r="M254" s="18" t="s">
        <v>20</v>
      </c>
      <c r="N254" s="15" t="s">
        <v>21</v>
      </c>
      <c r="O254" s="16" t="str">
        <f t="shared" si="27"/>
        <v>0729 Extracción de otros minerales metalíferos no ferrosos</v>
      </c>
      <c r="P254" s="10">
        <v>0</v>
      </c>
    </row>
    <row r="255" spans="1:16" s="12" customFormat="1" ht="24" x14ac:dyDescent="0.25">
      <c r="B255" s="13" t="s">
        <v>15</v>
      </c>
      <c r="C255" s="19">
        <v>2009</v>
      </c>
      <c r="D255" s="38">
        <v>20137291313</v>
      </c>
      <c r="E255" s="14" t="s">
        <v>16</v>
      </c>
      <c r="F255" s="15" t="s">
        <v>17</v>
      </c>
      <c r="G255" s="16" t="str">
        <f t="shared" si="28"/>
        <v>B Explotación de minas y canteras</v>
      </c>
      <c r="H255" s="14" t="str">
        <f t="shared" si="32"/>
        <v>07</v>
      </c>
      <c r="I255" s="17" t="s">
        <v>18</v>
      </c>
      <c r="J255" s="17" t="str">
        <f t="shared" si="26"/>
        <v>07 Extracción de minerales metalíferos</v>
      </c>
      <c r="K255" s="14" t="str">
        <f t="shared" si="33"/>
        <v>072</v>
      </c>
      <c r="L255" s="15" t="s">
        <v>19</v>
      </c>
      <c r="M255" s="18" t="s">
        <v>20</v>
      </c>
      <c r="N255" s="15" t="s">
        <v>21</v>
      </c>
      <c r="O255" s="16" t="str">
        <f t="shared" si="27"/>
        <v>0729 Extracción de otros minerales metalíferos no ferrosos</v>
      </c>
      <c r="P255" s="10">
        <v>0</v>
      </c>
    </row>
    <row r="256" spans="1:16" s="12" customFormat="1" ht="24" x14ac:dyDescent="0.25">
      <c r="B256" s="13" t="s">
        <v>15</v>
      </c>
      <c r="C256" s="19">
        <v>2010</v>
      </c>
      <c r="D256" s="38">
        <v>20137291313</v>
      </c>
      <c r="E256" s="14" t="s">
        <v>16</v>
      </c>
      <c r="F256" s="15" t="s">
        <v>17</v>
      </c>
      <c r="G256" s="16" t="str">
        <f t="shared" si="28"/>
        <v>B Explotación de minas y canteras</v>
      </c>
      <c r="H256" s="14" t="str">
        <f t="shared" si="32"/>
        <v>07</v>
      </c>
      <c r="I256" s="17" t="s">
        <v>18</v>
      </c>
      <c r="J256" s="17" t="str">
        <f t="shared" si="26"/>
        <v>07 Extracción de minerales metalíferos</v>
      </c>
      <c r="K256" s="14" t="str">
        <f t="shared" si="33"/>
        <v>072</v>
      </c>
      <c r="L256" s="15" t="s">
        <v>19</v>
      </c>
      <c r="M256" s="18" t="s">
        <v>20</v>
      </c>
      <c r="N256" s="15" t="s">
        <v>21</v>
      </c>
      <c r="O256" s="16" t="str">
        <f t="shared" si="27"/>
        <v>0729 Extracción de otros minerales metalíferos no ferrosos</v>
      </c>
      <c r="P256" s="10">
        <v>0</v>
      </c>
    </row>
    <row r="257" spans="2:16" s="12" customFormat="1" ht="24" x14ac:dyDescent="0.25">
      <c r="B257" s="13" t="s">
        <v>359</v>
      </c>
      <c r="C257" s="19">
        <v>2024</v>
      </c>
      <c r="D257" s="38">
        <v>20137913250</v>
      </c>
      <c r="E257" s="14" t="s">
        <v>16</v>
      </c>
      <c r="F257" s="15" t="s">
        <v>17</v>
      </c>
      <c r="G257" s="16" t="str">
        <f t="shared" si="28"/>
        <v>B Explotación de minas y canteras</v>
      </c>
      <c r="H257" s="14" t="str">
        <f t="shared" si="32"/>
        <v>07</v>
      </c>
      <c r="I257" s="17" t="s">
        <v>18</v>
      </c>
      <c r="J257" s="17" t="str">
        <f t="shared" si="26"/>
        <v>07 Extracción de minerales metalíferos</v>
      </c>
      <c r="K257" s="14" t="str">
        <f t="shared" si="33"/>
        <v>072</v>
      </c>
      <c r="L257" s="15" t="s">
        <v>19</v>
      </c>
      <c r="M257" s="18" t="s">
        <v>20</v>
      </c>
      <c r="N257" s="15" t="s">
        <v>21</v>
      </c>
      <c r="O257" s="16" t="str">
        <f t="shared" si="27"/>
        <v>0729 Extracción de otros minerales metalíferos no ferrosos</v>
      </c>
      <c r="P257" s="10">
        <v>47360.68</v>
      </c>
    </row>
    <row r="258" spans="2:16" s="12" customFormat="1" ht="24" x14ac:dyDescent="0.25">
      <c r="B258" s="13" t="s">
        <v>173</v>
      </c>
      <c r="C258" s="19">
        <v>2013</v>
      </c>
      <c r="D258" s="38">
        <v>20140688640</v>
      </c>
      <c r="E258" s="14" t="s">
        <v>16</v>
      </c>
      <c r="F258" s="15" t="s">
        <v>17</v>
      </c>
      <c r="G258" s="16" t="str">
        <f t="shared" si="28"/>
        <v>B Explotación de minas y canteras</v>
      </c>
      <c r="H258" s="14" t="str">
        <f t="shared" si="32"/>
        <v>07</v>
      </c>
      <c r="I258" s="17" t="s">
        <v>18</v>
      </c>
      <c r="J258" s="17" t="str">
        <f t="shared" ref="J258:J321" si="34">H258&amp;" "&amp;I258</f>
        <v>07 Extracción de minerales metalíferos</v>
      </c>
      <c r="K258" s="14" t="str">
        <f t="shared" si="33"/>
        <v>072</v>
      </c>
      <c r="L258" s="15" t="s">
        <v>19</v>
      </c>
      <c r="M258" s="18" t="s">
        <v>20</v>
      </c>
      <c r="N258" s="15" t="s">
        <v>21</v>
      </c>
      <c r="O258" s="16" t="str">
        <f t="shared" ref="O258:O321" si="35">M258&amp;" "&amp;N258</f>
        <v>0729 Extracción de otros minerales metalíferos no ferrosos</v>
      </c>
      <c r="P258" s="10">
        <v>8030000</v>
      </c>
    </row>
    <row r="259" spans="2:16" s="12" customFormat="1" ht="24" x14ac:dyDescent="0.25">
      <c r="B259" s="13" t="s">
        <v>173</v>
      </c>
      <c r="C259" s="19">
        <v>2014</v>
      </c>
      <c r="D259" s="38">
        <v>20140688640</v>
      </c>
      <c r="E259" s="14" t="s">
        <v>16</v>
      </c>
      <c r="F259" s="15" t="s">
        <v>17</v>
      </c>
      <c r="G259" s="16" t="str">
        <f t="shared" si="28"/>
        <v>B Explotación de minas y canteras</v>
      </c>
      <c r="H259" s="14" t="str">
        <f t="shared" si="32"/>
        <v>07</v>
      </c>
      <c r="I259" s="17" t="s">
        <v>18</v>
      </c>
      <c r="J259" s="17" t="str">
        <f t="shared" si="34"/>
        <v>07 Extracción de minerales metalíferos</v>
      </c>
      <c r="K259" s="14" t="str">
        <f t="shared" si="33"/>
        <v>072</v>
      </c>
      <c r="L259" s="15" t="s">
        <v>19</v>
      </c>
      <c r="M259" s="18" t="s">
        <v>20</v>
      </c>
      <c r="N259" s="15" t="s">
        <v>21</v>
      </c>
      <c r="O259" s="16" t="str">
        <f t="shared" si="35"/>
        <v>0729 Extracción de otros minerales metalíferos no ferrosos</v>
      </c>
      <c r="P259" s="10">
        <v>6847594.4199999999</v>
      </c>
    </row>
    <row r="260" spans="2:16" s="12" customFormat="1" ht="24" x14ac:dyDescent="0.25">
      <c r="B260" s="13" t="s">
        <v>173</v>
      </c>
      <c r="C260" s="19">
        <v>2015</v>
      </c>
      <c r="D260" s="38">
        <v>20140688640</v>
      </c>
      <c r="E260" s="14" t="s">
        <v>16</v>
      </c>
      <c r="F260" s="15" t="s">
        <v>17</v>
      </c>
      <c r="G260" s="16" t="str">
        <f t="shared" si="28"/>
        <v>B Explotación de minas y canteras</v>
      </c>
      <c r="H260" s="14" t="str">
        <f t="shared" si="32"/>
        <v>07</v>
      </c>
      <c r="I260" s="17" t="s">
        <v>18</v>
      </c>
      <c r="J260" s="17" t="str">
        <f t="shared" si="34"/>
        <v>07 Extracción de minerales metalíferos</v>
      </c>
      <c r="K260" s="14" t="str">
        <f t="shared" si="33"/>
        <v>072</v>
      </c>
      <c r="L260" s="15" t="s">
        <v>19</v>
      </c>
      <c r="M260" s="18" t="s">
        <v>20</v>
      </c>
      <c r="N260" s="15" t="s">
        <v>21</v>
      </c>
      <c r="O260" s="16" t="str">
        <f t="shared" si="35"/>
        <v>0729 Extracción de otros minerales metalíferos no ferrosos</v>
      </c>
      <c r="P260" s="10">
        <v>5585564.6900000004</v>
      </c>
    </row>
    <row r="261" spans="2:16" s="12" customFormat="1" ht="24" x14ac:dyDescent="0.25">
      <c r="B261" s="13" t="s">
        <v>173</v>
      </c>
      <c r="C261" s="19">
        <v>2016</v>
      </c>
      <c r="D261" s="38">
        <v>20140688640</v>
      </c>
      <c r="E261" s="14" t="s">
        <v>16</v>
      </c>
      <c r="F261" s="15" t="s">
        <v>17</v>
      </c>
      <c r="G261" s="16" t="str">
        <f t="shared" si="28"/>
        <v>B Explotación de minas y canteras</v>
      </c>
      <c r="H261" s="14" t="str">
        <f t="shared" si="32"/>
        <v>07</v>
      </c>
      <c r="I261" s="17" t="s">
        <v>18</v>
      </c>
      <c r="J261" s="17" t="str">
        <f t="shared" si="34"/>
        <v>07 Extracción de minerales metalíferos</v>
      </c>
      <c r="K261" s="14" t="str">
        <f t="shared" si="33"/>
        <v>072</v>
      </c>
      <c r="L261" s="15" t="s">
        <v>19</v>
      </c>
      <c r="M261" s="18" t="s">
        <v>20</v>
      </c>
      <c r="N261" s="15" t="s">
        <v>21</v>
      </c>
      <c r="O261" s="16" t="str">
        <f t="shared" si="35"/>
        <v>0729 Extracción de otros minerales metalíferos no ferrosos</v>
      </c>
      <c r="P261" s="10">
        <v>5347739.21</v>
      </c>
    </row>
    <row r="262" spans="2:16" s="12" customFormat="1" ht="24" x14ac:dyDescent="0.25">
      <c r="B262" s="13" t="s">
        <v>173</v>
      </c>
      <c r="C262" s="19">
        <v>2017</v>
      </c>
      <c r="D262" s="38">
        <v>20140688640</v>
      </c>
      <c r="E262" s="14" t="s">
        <v>16</v>
      </c>
      <c r="F262" s="15" t="s">
        <v>17</v>
      </c>
      <c r="G262" s="16" t="str">
        <f t="shared" si="28"/>
        <v>B Explotación de minas y canteras</v>
      </c>
      <c r="H262" s="14" t="str">
        <f t="shared" si="32"/>
        <v>07</v>
      </c>
      <c r="I262" s="17" t="s">
        <v>18</v>
      </c>
      <c r="J262" s="17" t="str">
        <f t="shared" si="34"/>
        <v>07 Extracción de minerales metalíferos</v>
      </c>
      <c r="K262" s="14" t="str">
        <f t="shared" si="33"/>
        <v>072</v>
      </c>
      <c r="L262" s="15" t="s">
        <v>19</v>
      </c>
      <c r="M262" s="18" t="s">
        <v>20</v>
      </c>
      <c r="N262" s="15" t="s">
        <v>21</v>
      </c>
      <c r="O262" s="16" t="str">
        <f t="shared" si="35"/>
        <v>0729 Extracción de otros minerales metalíferos no ferrosos</v>
      </c>
      <c r="P262" s="10">
        <v>8690000</v>
      </c>
    </row>
    <row r="263" spans="2:16" s="12" customFormat="1" ht="24" x14ac:dyDescent="0.25">
      <c r="B263" s="13" t="s">
        <v>173</v>
      </c>
      <c r="C263" s="19">
        <v>2018</v>
      </c>
      <c r="D263" s="38">
        <v>20140688640</v>
      </c>
      <c r="E263" s="14" t="s">
        <v>16</v>
      </c>
      <c r="F263" s="15" t="s">
        <v>17</v>
      </c>
      <c r="G263" s="16" t="str">
        <f t="shared" si="28"/>
        <v>B Explotación de minas y canteras</v>
      </c>
      <c r="H263" s="14" t="str">
        <f t="shared" si="32"/>
        <v>07</v>
      </c>
      <c r="I263" s="17" t="s">
        <v>18</v>
      </c>
      <c r="J263" s="17" t="str">
        <f t="shared" si="34"/>
        <v>07 Extracción de minerales metalíferos</v>
      </c>
      <c r="K263" s="14" t="str">
        <f t="shared" si="33"/>
        <v>072</v>
      </c>
      <c r="L263" s="15" t="s">
        <v>19</v>
      </c>
      <c r="M263" s="18" t="s">
        <v>20</v>
      </c>
      <c r="N263" s="15" t="s">
        <v>21</v>
      </c>
      <c r="O263" s="16" t="str">
        <f t="shared" si="35"/>
        <v>0729 Extracción de otros minerales metalíferos no ferrosos</v>
      </c>
      <c r="P263" s="10">
        <v>5961978.1600000001</v>
      </c>
    </row>
    <row r="264" spans="2:16" s="12" customFormat="1" ht="24" x14ac:dyDescent="0.25">
      <c r="B264" s="13" t="s">
        <v>173</v>
      </c>
      <c r="C264" s="19">
        <v>2019</v>
      </c>
      <c r="D264" s="38">
        <v>20140688640</v>
      </c>
      <c r="E264" s="14" t="s">
        <v>16</v>
      </c>
      <c r="F264" s="15" t="s">
        <v>17</v>
      </c>
      <c r="G264" s="16" t="str">
        <f t="shared" si="28"/>
        <v>B Explotación de minas y canteras</v>
      </c>
      <c r="H264" s="14" t="str">
        <f t="shared" si="32"/>
        <v>07</v>
      </c>
      <c r="I264" s="17" t="s">
        <v>18</v>
      </c>
      <c r="J264" s="17" t="str">
        <f t="shared" si="34"/>
        <v>07 Extracción de minerales metalíferos</v>
      </c>
      <c r="K264" s="14" t="str">
        <f t="shared" si="33"/>
        <v>072</v>
      </c>
      <c r="L264" s="15" t="s">
        <v>19</v>
      </c>
      <c r="M264" s="18" t="s">
        <v>20</v>
      </c>
      <c r="N264" s="15" t="s">
        <v>21</v>
      </c>
      <c r="O264" s="16" t="str">
        <f t="shared" si="35"/>
        <v>0729 Extracción de otros minerales metalíferos no ferrosos</v>
      </c>
      <c r="P264" s="10">
        <v>1900485.08</v>
      </c>
    </row>
    <row r="265" spans="2:16" s="12" customFormat="1" ht="24" x14ac:dyDescent="0.25">
      <c r="B265" s="13" t="s">
        <v>173</v>
      </c>
      <c r="C265" s="19">
        <v>2020</v>
      </c>
      <c r="D265" s="38">
        <v>20140688640</v>
      </c>
      <c r="E265" s="14" t="s">
        <v>16</v>
      </c>
      <c r="F265" s="15" t="s">
        <v>17</v>
      </c>
      <c r="G265" s="16" t="str">
        <f t="shared" si="28"/>
        <v>B Explotación de minas y canteras</v>
      </c>
      <c r="H265" s="14" t="str">
        <f t="shared" si="32"/>
        <v>07</v>
      </c>
      <c r="I265" s="17" t="s">
        <v>18</v>
      </c>
      <c r="J265" s="17" t="str">
        <f t="shared" si="34"/>
        <v>07 Extracción de minerales metalíferos</v>
      </c>
      <c r="K265" s="14" t="str">
        <f t="shared" si="33"/>
        <v>072</v>
      </c>
      <c r="L265" s="15" t="s">
        <v>19</v>
      </c>
      <c r="M265" s="18" t="s">
        <v>20</v>
      </c>
      <c r="N265" s="15" t="s">
        <v>21</v>
      </c>
      <c r="O265" s="16" t="str">
        <f t="shared" si="35"/>
        <v>0729 Extracción de otros minerales metalíferos no ferrosos</v>
      </c>
      <c r="P265" s="10">
        <v>2535425.34</v>
      </c>
    </row>
    <row r="266" spans="2:16" s="12" customFormat="1" ht="24" x14ac:dyDescent="0.25">
      <c r="B266" s="13" t="s">
        <v>173</v>
      </c>
      <c r="C266" s="19">
        <v>2021</v>
      </c>
      <c r="D266" s="38">
        <v>20140688640</v>
      </c>
      <c r="E266" s="14" t="s">
        <v>16</v>
      </c>
      <c r="F266" s="15" t="s">
        <v>17</v>
      </c>
      <c r="G266" s="16" t="str">
        <f t="shared" si="28"/>
        <v>B Explotación de minas y canteras</v>
      </c>
      <c r="H266" s="14" t="str">
        <f t="shared" si="32"/>
        <v>07</v>
      </c>
      <c r="I266" s="17" t="s">
        <v>18</v>
      </c>
      <c r="J266" s="17" t="str">
        <f t="shared" si="34"/>
        <v>07 Extracción de minerales metalíferos</v>
      </c>
      <c r="K266" s="14" t="str">
        <f t="shared" si="33"/>
        <v>072</v>
      </c>
      <c r="L266" s="15" t="s">
        <v>19</v>
      </c>
      <c r="M266" s="18" t="s">
        <v>20</v>
      </c>
      <c r="N266" s="15" t="s">
        <v>21</v>
      </c>
      <c r="O266" s="16" t="str">
        <f t="shared" si="35"/>
        <v>0729 Extracción de otros minerales metalíferos no ferrosos</v>
      </c>
      <c r="P266" s="10">
        <v>2945220.29</v>
      </c>
    </row>
    <row r="267" spans="2:16" s="12" customFormat="1" ht="24" x14ac:dyDescent="0.25">
      <c r="B267" s="13" t="s">
        <v>173</v>
      </c>
      <c r="C267" s="19">
        <v>2022</v>
      </c>
      <c r="D267" s="38">
        <v>20140688640</v>
      </c>
      <c r="E267" s="14" t="s">
        <v>16</v>
      </c>
      <c r="F267" s="15" t="s">
        <v>17</v>
      </c>
      <c r="G267" s="16" t="str">
        <f t="shared" si="28"/>
        <v>B Explotación de minas y canteras</v>
      </c>
      <c r="H267" s="14" t="str">
        <f t="shared" si="32"/>
        <v>07</v>
      </c>
      <c r="I267" s="17" t="s">
        <v>18</v>
      </c>
      <c r="J267" s="17" t="str">
        <f t="shared" si="34"/>
        <v>07 Extracción de minerales metalíferos</v>
      </c>
      <c r="K267" s="14" t="str">
        <f t="shared" si="33"/>
        <v>072</v>
      </c>
      <c r="L267" s="15" t="s">
        <v>19</v>
      </c>
      <c r="M267" s="18" t="s">
        <v>20</v>
      </c>
      <c r="N267" s="15" t="s">
        <v>21</v>
      </c>
      <c r="O267" s="16" t="str">
        <f t="shared" si="35"/>
        <v>0729 Extracción de otros minerales metalíferos no ferrosos</v>
      </c>
      <c r="P267" s="10">
        <v>5233598.66</v>
      </c>
    </row>
    <row r="268" spans="2:16" s="12" customFormat="1" ht="24" x14ac:dyDescent="0.25">
      <c r="B268" s="13" t="s">
        <v>154</v>
      </c>
      <c r="C268" s="19">
        <v>2010</v>
      </c>
      <c r="D268" s="38">
        <v>20145913544</v>
      </c>
      <c r="E268" s="14" t="s">
        <v>155</v>
      </c>
      <c r="F268" s="15" t="s">
        <v>156</v>
      </c>
      <c r="G268" s="16" t="str">
        <f t="shared" si="28"/>
        <v>R Actividades artísticas, de espacimiento y deportivas</v>
      </c>
      <c r="H268" s="14" t="str">
        <f t="shared" si="32"/>
        <v>93</v>
      </c>
      <c r="I268" s="17" t="s">
        <v>156</v>
      </c>
      <c r="J268" s="17" t="str">
        <f t="shared" si="34"/>
        <v>93 Actividades artísticas, de espacimiento y deportivas</v>
      </c>
      <c r="K268" s="14" t="str">
        <f t="shared" si="33"/>
        <v>932</v>
      </c>
      <c r="L268" s="15" t="s">
        <v>157</v>
      </c>
      <c r="M268" s="18" t="s">
        <v>158</v>
      </c>
      <c r="N268" s="15" t="s">
        <v>159</v>
      </c>
      <c r="O268" s="16" t="str">
        <f t="shared" si="35"/>
        <v>9329 Otras actividades de esparcimiento y recreativas n.c.p</v>
      </c>
      <c r="P268" s="10">
        <v>1805.26</v>
      </c>
    </row>
    <row r="269" spans="2:16" s="12" customFormat="1" ht="36" x14ac:dyDescent="0.25">
      <c r="B269" s="13" t="s">
        <v>274</v>
      </c>
      <c r="C269" s="19">
        <v>2021</v>
      </c>
      <c r="D269" s="38">
        <v>20157036794</v>
      </c>
      <c r="E269" s="14" t="s">
        <v>148</v>
      </c>
      <c r="F269" s="15" t="s">
        <v>149</v>
      </c>
      <c r="G269" s="16" t="str">
        <f t="shared" si="28"/>
        <v>K Actividades financieras y de seguros</v>
      </c>
      <c r="H269" s="14" t="str">
        <f t="shared" si="32"/>
        <v>65</v>
      </c>
      <c r="I269" s="17" t="s">
        <v>150</v>
      </c>
      <c r="J269" s="17" t="str">
        <f t="shared" si="34"/>
        <v>65 Actividades de servicios financieros, excepto las de seguros y fondos de pensiones</v>
      </c>
      <c r="K269" s="14" t="str">
        <f t="shared" si="33"/>
        <v>653</v>
      </c>
      <c r="L269" s="15" t="s">
        <v>151</v>
      </c>
      <c r="M269" s="18" t="s">
        <v>275</v>
      </c>
      <c r="N269" s="15" t="s">
        <v>276</v>
      </c>
      <c r="O269" s="16" t="str">
        <f t="shared" si="35"/>
        <v>6530 Fondos de Pensiones</v>
      </c>
      <c r="P269" s="10">
        <v>7994.46</v>
      </c>
    </row>
    <row r="270" spans="2:16" s="12" customFormat="1" ht="36" x14ac:dyDescent="0.25">
      <c r="B270" s="13" t="s">
        <v>274</v>
      </c>
      <c r="C270" s="19">
        <v>2022</v>
      </c>
      <c r="D270" s="38">
        <v>20157036794</v>
      </c>
      <c r="E270" s="14" t="s">
        <v>148</v>
      </c>
      <c r="F270" s="15" t="s">
        <v>149</v>
      </c>
      <c r="G270" s="16" t="str">
        <f t="shared" si="28"/>
        <v>K Actividades financieras y de seguros</v>
      </c>
      <c r="H270" s="14" t="str">
        <f t="shared" si="32"/>
        <v>65</v>
      </c>
      <c r="I270" s="17" t="s">
        <v>150</v>
      </c>
      <c r="J270" s="17" t="str">
        <f t="shared" si="34"/>
        <v>65 Actividades de servicios financieros, excepto las de seguros y fondos de pensiones</v>
      </c>
      <c r="K270" s="14" t="str">
        <f t="shared" si="33"/>
        <v>653</v>
      </c>
      <c r="L270" s="15" t="s">
        <v>151</v>
      </c>
      <c r="M270" s="18" t="s">
        <v>275</v>
      </c>
      <c r="N270" s="15" t="s">
        <v>276</v>
      </c>
      <c r="O270" s="16" t="str">
        <f t="shared" si="35"/>
        <v>6530 Fondos de Pensiones</v>
      </c>
      <c r="P270" s="10">
        <v>30985.200000000001</v>
      </c>
    </row>
    <row r="271" spans="2:16" s="12" customFormat="1" ht="36" x14ac:dyDescent="0.25">
      <c r="B271" s="13" t="s">
        <v>274</v>
      </c>
      <c r="C271" s="19">
        <v>2023</v>
      </c>
      <c r="D271" s="38">
        <v>20157036794</v>
      </c>
      <c r="E271" s="14" t="s">
        <v>148</v>
      </c>
      <c r="F271" s="15" t="s">
        <v>149</v>
      </c>
      <c r="G271" s="16" t="str">
        <f t="shared" si="28"/>
        <v>K Actividades financieras y de seguros</v>
      </c>
      <c r="H271" s="14" t="str">
        <f t="shared" si="32"/>
        <v>65</v>
      </c>
      <c r="I271" s="17" t="s">
        <v>150</v>
      </c>
      <c r="J271" s="17" t="str">
        <f t="shared" si="34"/>
        <v>65 Actividades de servicios financieros, excepto las de seguros y fondos de pensiones</v>
      </c>
      <c r="K271" s="14" t="str">
        <f t="shared" si="33"/>
        <v>653</v>
      </c>
      <c r="L271" s="15" t="s">
        <v>151</v>
      </c>
      <c r="M271" s="18" t="s">
        <v>275</v>
      </c>
      <c r="N271" s="15" t="s">
        <v>276</v>
      </c>
      <c r="O271" s="16" t="str">
        <f t="shared" si="35"/>
        <v>6530 Fondos de Pensiones</v>
      </c>
      <c r="P271" s="10">
        <v>25913.59</v>
      </c>
    </row>
    <row r="272" spans="2:16" s="12" customFormat="1" ht="36" x14ac:dyDescent="0.25">
      <c r="B272" s="13" t="s">
        <v>274</v>
      </c>
      <c r="C272" s="19">
        <v>2024</v>
      </c>
      <c r="D272" s="38">
        <v>20157036794</v>
      </c>
      <c r="E272" s="14" t="s">
        <v>148</v>
      </c>
      <c r="F272" s="15" t="s">
        <v>149</v>
      </c>
      <c r="G272" s="16" t="str">
        <f t="shared" ref="G272:G335" si="36">E272&amp;" "&amp;F272</f>
        <v>K Actividades financieras y de seguros</v>
      </c>
      <c r="H272" s="14" t="str">
        <f t="shared" si="32"/>
        <v>65</v>
      </c>
      <c r="I272" s="17" t="s">
        <v>150</v>
      </c>
      <c r="J272" s="17" t="str">
        <f t="shared" si="34"/>
        <v>65 Actividades de servicios financieros, excepto las de seguros y fondos de pensiones</v>
      </c>
      <c r="K272" s="14" t="str">
        <f t="shared" si="33"/>
        <v>653</v>
      </c>
      <c r="L272" s="15" t="s">
        <v>151</v>
      </c>
      <c r="M272" s="18" t="s">
        <v>275</v>
      </c>
      <c r="N272" s="15" t="s">
        <v>276</v>
      </c>
      <c r="O272" s="16" t="str">
        <f t="shared" si="35"/>
        <v>6530 Fondos de Pensiones</v>
      </c>
      <c r="P272" s="10">
        <v>71978.13</v>
      </c>
    </row>
    <row r="273" spans="2:16" s="12" customFormat="1" ht="36" x14ac:dyDescent="0.25">
      <c r="B273" s="13" t="s">
        <v>291</v>
      </c>
      <c r="C273" s="19">
        <v>2022</v>
      </c>
      <c r="D273" s="38">
        <v>20160479290</v>
      </c>
      <c r="E273" s="14" t="s">
        <v>42</v>
      </c>
      <c r="F273" s="15" t="s">
        <v>292</v>
      </c>
      <c r="G273" s="16" t="str">
        <f t="shared" si="36"/>
        <v>G Comercio al por menor, excepto el comercio de vehículos automotores y motocicletas</v>
      </c>
      <c r="H273" s="14" t="str">
        <f t="shared" si="32"/>
        <v>47</v>
      </c>
      <c r="I273" s="17" t="s">
        <v>292</v>
      </c>
      <c r="J273" s="17" t="str">
        <f t="shared" si="34"/>
        <v>47 Comercio al por menor, excepto el comercio de vehículos automotores y motocicletas</v>
      </c>
      <c r="K273" s="14" t="str">
        <f t="shared" si="33"/>
        <v>477</v>
      </c>
      <c r="L273" s="15" t="s">
        <v>120</v>
      </c>
      <c r="M273" s="18">
        <v>4773</v>
      </c>
      <c r="N273" s="15" t="s">
        <v>293</v>
      </c>
      <c r="O273" s="16" t="str">
        <f t="shared" si="35"/>
        <v>4773 Venta al por menor de otros productos nuevos en comercios especializados</v>
      </c>
      <c r="P273" s="10">
        <v>6147.43</v>
      </c>
    </row>
    <row r="274" spans="2:16" s="12" customFormat="1" ht="36" x14ac:dyDescent="0.25">
      <c r="B274" s="13" t="s">
        <v>291</v>
      </c>
      <c r="C274" s="19">
        <v>2024</v>
      </c>
      <c r="D274" s="38">
        <v>20160479290</v>
      </c>
      <c r="E274" s="14" t="s">
        <v>42</v>
      </c>
      <c r="F274" s="15" t="s">
        <v>292</v>
      </c>
      <c r="G274" s="16" t="str">
        <f t="shared" si="36"/>
        <v>G Comercio al por menor, excepto el comercio de vehículos automotores y motocicletas</v>
      </c>
      <c r="H274" s="14" t="str">
        <f t="shared" si="32"/>
        <v>47</v>
      </c>
      <c r="I274" s="17" t="s">
        <v>292</v>
      </c>
      <c r="J274" s="17" t="str">
        <f t="shared" si="34"/>
        <v>47 Comercio al por menor, excepto el comercio de vehículos automotores y motocicletas</v>
      </c>
      <c r="K274" s="14" t="str">
        <f t="shared" si="33"/>
        <v>477</v>
      </c>
      <c r="L274" s="15" t="s">
        <v>120</v>
      </c>
      <c r="M274" s="18">
        <v>4773</v>
      </c>
      <c r="N274" s="15" t="s">
        <v>293</v>
      </c>
      <c r="O274" s="16" t="str">
        <f t="shared" si="35"/>
        <v>4773 Venta al por menor de otros productos nuevos en comercios especializados</v>
      </c>
      <c r="P274" s="10">
        <v>1623.25</v>
      </c>
    </row>
    <row r="275" spans="2:16" s="12" customFormat="1" ht="36" x14ac:dyDescent="0.25">
      <c r="B275" s="13" t="s">
        <v>177</v>
      </c>
      <c r="C275" s="19">
        <v>2013</v>
      </c>
      <c r="D275" s="38">
        <v>20168544252</v>
      </c>
      <c r="E275" s="14" t="s">
        <v>42</v>
      </c>
      <c r="F275" s="15" t="s">
        <v>43</v>
      </c>
      <c r="G275" s="16" t="str">
        <f t="shared" si="36"/>
        <v>G Comercio al por mayor y al por menor; reparación de vehículos automotores y motocicletas</v>
      </c>
      <c r="H275" s="14" t="str">
        <f t="shared" si="32"/>
        <v>45</v>
      </c>
      <c r="I275" s="17" t="s">
        <v>135</v>
      </c>
      <c r="J275" s="17" t="str">
        <f t="shared" si="34"/>
        <v>45 Comercio al por mayor y al por menor y reparación de vehículos automotores y motocicletas</v>
      </c>
      <c r="K275" s="14" t="str">
        <f t="shared" si="33"/>
        <v>451</v>
      </c>
      <c r="L275" s="15" t="s">
        <v>136</v>
      </c>
      <c r="M275" s="18" t="s">
        <v>137</v>
      </c>
      <c r="N275" s="15" t="s">
        <v>136</v>
      </c>
      <c r="O275" s="16" t="str">
        <f t="shared" si="35"/>
        <v>4510 Venta de vehículos automotores</v>
      </c>
      <c r="P275" s="10">
        <v>23573.24</v>
      </c>
    </row>
    <row r="276" spans="2:16" s="12" customFormat="1" x14ac:dyDescent="0.25">
      <c r="B276" s="13" t="s">
        <v>67</v>
      </c>
      <c r="C276" s="19">
        <v>2005</v>
      </c>
      <c r="D276" s="38">
        <v>20168702346</v>
      </c>
      <c r="E276" s="14" t="s">
        <v>16</v>
      </c>
      <c r="F276" s="15" t="s">
        <v>17</v>
      </c>
      <c r="G276" s="16" t="str">
        <f t="shared" si="36"/>
        <v>B Explotación de minas y canteras</v>
      </c>
      <c r="H276" s="14" t="str">
        <f t="shared" si="32"/>
        <v>06</v>
      </c>
      <c r="I276" s="17" t="s">
        <v>68</v>
      </c>
      <c r="J276" s="17" t="str">
        <f t="shared" si="34"/>
        <v>06 Extracción de petróleo crudo y gas natural</v>
      </c>
      <c r="K276" s="14" t="str">
        <f t="shared" si="33"/>
        <v>061</v>
      </c>
      <c r="L276" s="15" t="s">
        <v>69</v>
      </c>
      <c r="M276" s="18" t="s">
        <v>70</v>
      </c>
      <c r="N276" s="15" t="s">
        <v>69</v>
      </c>
      <c r="O276" s="16" t="str">
        <f t="shared" si="35"/>
        <v>0610 Extracción de petróleo crudo</v>
      </c>
      <c r="P276" s="10">
        <v>12215.19</v>
      </c>
    </row>
    <row r="277" spans="2:16" s="12" customFormat="1" x14ac:dyDescent="0.25">
      <c r="B277" s="13" t="s">
        <v>67</v>
      </c>
      <c r="C277" s="19">
        <v>2006</v>
      </c>
      <c r="D277" s="38">
        <v>20168702346</v>
      </c>
      <c r="E277" s="14" t="s">
        <v>16</v>
      </c>
      <c r="F277" s="15" t="s">
        <v>17</v>
      </c>
      <c r="G277" s="16" t="str">
        <f t="shared" si="36"/>
        <v>B Explotación de minas y canteras</v>
      </c>
      <c r="H277" s="14" t="str">
        <f t="shared" si="32"/>
        <v>06</v>
      </c>
      <c r="I277" s="17" t="s">
        <v>68</v>
      </c>
      <c r="J277" s="17" t="str">
        <f t="shared" si="34"/>
        <v>06 Extracción de petróleo crudo y gas natural</v>
      </c>
      <c r="K277" s="14" t="str">
        <f t="shared" si="33"/>
        <v>061</v>
      </c>
      <c r="L277" s="15" t="s">
        <v>69</v>
      </c>
      <c r="M277" s="18" t="s">
        <v>70</v>
      </c>
      <c r="N277" s="15" t="s">
        <v>69</v>
      </c>
      <c r="O277" s="16" t="str">
        <f t="shared" si="35"/>
        <v>0610 Extracción de petróleo crudo</v>
      </c>
      <c r="P277" s="10">
        <v>410966.58</v>
      </c>
    </row>
    <row r="278" spans="2:16" s="12" customFormat="1" x14ac:dyDescent="0.25">
      <c r="B278" s="13" t="s">
        <v>67</v>
      </c>
      <c r="C278" s="19">
        <v>2007</v>
      </c>
      <c r="D278" s="38">
        <v>20168702346</v>
      </c>
      <c r="E278" s="14" t="s">
        <v>16</v>
      </c>
      <c r="F278" s="15" t="s">
        <v>17</v>
      </c>
      <c r="G278" s="16" t="str">
        <f t="shared" si="36"/>
        <v>B Explotación de minas y canteras</v>
      </c>
      <c r="H278" s="14" t="str">
        <f t="shared" si="32"/>
        <v>06</v>
      </c>
      <c r="I278" s="17" t="s">
        <v>68</v>
      </c>
      <c r="J278" s="17" t="str">
        <f t="shared" si="34"/>
        <v>06 Extracción de petróleo crudo y gas natural</v>
      </c>
      <c r="K278" s="14" t="str">
        <f t="shared" si="33"/>
        <v>061</v>
      </c>
      <c r="L278" s="15" t="s">
        <v>69</v>
      </c>
      <c r="M278" s="18" t="s">
        <v>70</v>
      </c>
      <c r="N278" s="15" t="s">
        <v>69</v>
      </c>
      <c r="O278" s="16" t="str">
        <f t="shared" si="35"/>
        <v>0610 Extracción de petróleo crudo</v>
      </c>
      <c r="P278" s="10">
        <v>438623.76</v>
      </c>
    </row>
    <row r="279" spans="2:16" s="12" customFormat="1" x14ac:dyDescent="0.25">
      <c r="B279" s="13" t="s">
        <v>67</v>
      </c>
      <c r="C279" s="19">
        <v>2008</v>
      </c>
      <c r="D279" s="38">
        <v>20168702346</v>
      </c>
      <c r="E279" s="14" t="s">
        <v>16</v>
      </c>
      <c r="F279" s="15" t="s">
        <v>17</v>
      </c>
      <c r="G279" s="16" t="str">
        <f t="shared" si="36"/>
        <v>B Explotación de minas y canteras</v>
      </c>
      <c r="H279" s="14" t="str">
        <f t="shared" si="32"/>
        <v>06</v>
      </c>
      <c r="I279" s="17" t="s">
        <v>68</v>
      </c>
      <c r="J279" s="17" t="str">
        <f t="shared" si="34"/>
        <v>06 Extracción de petróleo crudo y gas natural</v>
      </c>
      <c r="K279" s="14" t="str">
        <f t="shared" si="33"/>
        <v>061</v>
      </c>
      <c r="L279" s="15" t="s">
        <v>69</v>
      </c>
      <c r="M279" s="18" t="s">
        <v>70</v>
      </c>
      <c r="N279" s="15" t="s">
        <v>69</v>
      </c>
      <c r="O279" s="16" t="str">
        <f t="shared" si="35"/>
        <v>0610 Extracción de petróleo crudo</v>
      </c>
      <c r="P279" s="10">
        <v>46244.12</v>
      </c>
    </row>
    <row r="280" spans="2:16" s="12" customFormat="1" x14ac:dyDescent="0.25">
      <c r="B280" s="13" t="s">
        <v>67</v>
      </c>
      <c r="C280" s="19">
        <v>2009</v>
      </c>
      <c r="D280" s="38">
        <v>20168702346</v>
      </c>
      <c r="E280" s="14" t="s">
        <v>16</v>
      </c>
      <c r="F280" s="15" t="s">
        <v>17</v>
      </c>
      <c r="G280" s="16" t="str">
        <f t="shared" si="36"/>
        <v>B Explotación de minas y canteras</v>
      </c>
      <c r="H280" s="14" t="str">
        <f t="shared" si="32"/>
        <v>06</v>
      </c>
      <c r="I280" s="17" t="s">
        <v>68</v>
      </c>
      <c r="J280" s="17" t="str">
        <f t="shared" si="34"/>
        <v>06 Extracción de petróleo crudo y gas natural</v>
      </c>
      <c r="K280" s="14" t="str">
        <f t="shared" si="33"/>
        <v>061</v>
      </c>
      <c r="L280" s="15" t="s">
        <v>69</v>
      </c>
      <c r="M280" s="18" t="s">
        <v>70</v>
      </c>
      <c r="N280" s="15" t="s">
        <v>69</v>
      </c>
      <c r="O280" s="16" t="str">
        <f t="shared" si="35"/>
        <v>0610 Extracción de petróleo crudo</v>
      </c>
      <c r="P280" s="10">
        <v>291397.40252</v>
      </c>
    </row>
    <row r="281" spans="2:16" s="12" customFormat="1" x14ac:dyDescent="0.25">
      <c r="B281" s="13" t="s">
        <v>67</v>
      </c>
      <c r="C281" s="19">
        <v>2012</v>
      </c>
      <c r="D281" s="38">
        <v>20168702346</v>
      </c>
      <c r="E281" s="14" t="s">
        <v>16</v>
      </c>
      <c r="F281" s="15" t="s">
        <v>17</v>
      </c>
      <c r="G281" s="16" t="str">
        <f t="shared" si="36"/>
        <v>B Explotación de minas y canteras</v>
      </c>
      <c r="H281" s="14" t="str">
        <f t="shared" si="32"/>
        <v>06</v>
      </c>
      <c r="I281" s="17" t="s">
        <v>68</v>
      </c>
      <c r="J281" s="17" t="str">
        <f t="shared" si="34"/>
        <v>06 Extracción de petróleo crudo y gas natural</v>
      </c>
      <c r="K281" s="14" t="str">
        <f t="shared" si="33"/>
        <v>061</v>
      </c>
      <c r="L281" s="15" t="s">
        <v>69</v>
      </c>
      <c r="M281" s="18" t="s">
        <v>70</v>
      </c>
      <c r="N281" s="15" t="s">
        <v>69</v>
      </c>
      <c r="O281" s="16" t="str">
        <f t="shared" si="35"/>
        <v>0610 Extracción de petróleo crudo</v>
      </c>
      <c r="P281" s="10">
        <v>21055.15</v>
      </c>
    </row>
    <row r="282" spans="2:16" s="12" customFormat="1" x14ac:dyDescent="0.25">
      <c r="B282" s="13" t="s">
        <v>67</v>
      </c>
      <c r="C282" s="19">
        <v>2013</v>
      </c>
      <c r="D282" s="38">
        <v>20168702346</v>
      </c>
      <c r="E282" s="14" t="s">
        <v>16</v>
      </c>
      <c r="F282" s="15" t="s">
        <v>17</v>
      </c>
      <c r="G282" s="16" t="str">
        <f t="shared" si="36"/>
        <v>B Explotación de minas y canteras</v>
      </c>
      <c r="H282" s="14" t="str">
        <f t="shared" si="32"/>
        <v>06</v>
      </c>
      <c r="I282" s="17" t="s">
        <v>68</v>
      </c>
      <c r="J282" s="17" t="str">
        <f t="shared" si="34"/>
        <v>06 Extracción de petróleo crudo y gas natural</v>
      </c>
      <c r="K282" s="14" t="str">
        <f t="shared" si="33"/>
        <v>061</v>
      </c>
      <c r="L282" s="15" t="s">
        <v>69</v>
      </c>
      <c r="M282" s="18" t="s">
        <v>70</v>
      </c>
      <c r="N282" s="15" t="s">
        <v>69</v>
      </c>
      <c r="O282" s="16" t="str">
        <f t="shared" si="35"/>
        <v>0610 Extracción de petróleo crudo</v>
      </c>
      <c r="P282" s="10">
        <v>202134.35</v>
      </c>
    </row>
    <row r="283" spans="2:16" s="12" customFormat="1" x14ac:dyDescent="0.25">
      <c r="B283" s="13" t="s">
        <v>67</v>
      </c>
      <c r="C283" s="19">
        <v>2014</v>
      </c>
      <c r="D283" s="38">
        <v>20168702346</v>
      </c>
      <c r="E283" s="14" t="s">
        <v>16</v>
      </c>
      <c r="F283" s="15" t="s">
        <v>17</v>
      </c>
      <c r="G283" s="16" t="str">
        <f t="shared" si="36"/>
        <v>B Explotación de minas y canteras</v>
      </c>
      <c r="H283" s="14" t="str">
        <f t="shared" si="32"/>
        <v>06</v>
      </c>
      <c r="I283" s="17" t="s">
        <v>68</v>
      </c>
      <c r="J283" s="17" t="str">
        <f t="shared" si="34"/>
        <v>06 Extracción de petróleo crudo y gas natural</v>
      </c>
      <c r="K283" s="14" t="str">
        <f t="shared" si="33"/>
        <v>061</v>
      </c>
      <c r="L283" s="15" t="s">
        <v>69</v>
      </c>
      <c r="M283" s="18" t="s">
        <v>70</v>
      </c>
      <c r="N283" s="15" t="s">
        <v>69</v>
      </c>
      <c r="O283" s="16" t="str">
        <f t="shared" si="35"/>
        <v>0610 Extracción de petróleo crudo</v>
      </c>
      <c r="P283" s="10">
        <v>1258.57</v>
      </c>
    </row>
    <row r="284" spans="2:16" s="12" customFormat="1" ht="24" x14ac:dyDescent="0.25">
      <c r="B284" s="13" t="s">
        <v>72</v>
      </c>
      <c r="C284" s="19">
        <v>2006</v>
      </c>
      <c r="D284" s="38">
        <v>20170072465</v>
      </c>
      <c r="E284" s="14" t="s">
        <v>16</v>
      </c>
      <c r="F284" s="15" t="s">
        <v>17</v>
      </c>
      <c r="G284" s="16" t="str">
        <f t="shared" si="36"/>
        <v>B Explotación de minas y canteras</v>
      </c>
      <c r="H284" s="14" t="str">
        <f t="shared" si="32"/>
        <v>07</v>
      </c>
      <c r="I284" s="17" t="s">
        <v>18</v>
      </c>
      <c r="J284" s="17" t="str">
        <f t="shared" si="34"/>
        <v>07 Extracción de minerales metalíferos</v>
      </c>
      <c r="K284" s="14" t="str">
        <f t="shared" si="33"/>
        <v>072</v>
      </c>
      <c r="L284" s="15" t="s">
        <v>19</v>
      </c>
      <c r="M284" s="18" t="s">
        <v>20</v>
      </c>
      <c r="N284" s="15" t="s">
        <v>21</v>
      </c>
      <c r="O284" s="16" t="str">
        <f t="shared" si="35"/>
        <v>0729 Extracción de otros minerales metalíferos no ferrosos</v>
      </c>
      <c r="P284" s="10">
        <v>4687777.9000000004</v>
      </c>
    </row>
    <row r="285" spans="2:16" s="12" customFormat="1" ht="24" x14ac:dyDescent="0.25">
      <c r="B285" s="13" t="s">
        <v>72</v>
      </c>
      <c r="C285" s="19">
        <v>2007</v>
      </c>
      <c r="D285" s="38">
        <v>20170072465</v>
      </c>
      <c r="E285" s="14" t="s">
        <v>16</v>
      </c>
      <c r="F285" s="15" t="s">
        <v>17</v>
      </c>
      <c r="G285" s="16" t="str">
        <f t="shared" si="36"/>
        <v>B Explotación de minas y canteras</v>
      </c>
      <c r="H285" s="14" t="str">
        <f t="shared" si="32"/>
        <v>07</v>
      </c>
      <c r="I285" s="17" t="s">
        <v>18</v>
      </c>
      <c r="J285" s="17" t="str">
        <f t="shared" si="34"/>
        <v>07 Extracción de minerales metalíferos</v>
      </c>
      <c r="K285" s="14" t="str">
        <f t="shared" si="33"/>
        <v>072</v>
      </c>
      <c r="L285" s="15" t="s">
        <v>19</v>
      </c>
      <c r="M285" s="18" t="s">
        <v>20</v>
      </c>
      <c r="N285" s="15" t="s">
        <v>21</v>
      </c>
      <c r="O285" s="16" t="str">
        <f t="shared" si="35"/>
        <v>0729 Extracción de otros minerales metalíferos no ferrosos</v>
      </c>
      <c r="P285" s="10">
        <v>7480000</v>
      </c>
    </row>
    <row r="286" spans="2:16" s="12" customFormat="1" ht="24" x14ac:dyDescent="0.25">
      <c r="B286" s="13" t="s">
        <v>72</v>
      </c>
      <c r="C286" s="19">
        <v>2008</v>
      </c>
      <c r="D286" s="38">
        <v>20170072465</v>
      </c>
      <c r="E286" s="14" t="s">
        <v>16</v>
      </c>
      <c r="F286" s="15" t="s">
        <v>17</v>
      </c>
      <c r="G286" s="16" t="str">
        <f t="shared" si="36"/>
        <v>B Explotación de minas y canteras</v>
      </c>
      <c r="H286" s="14" t="str">
        <f t="shared" ref="H286:H317" si="37">LEFT(K286,2)</f>
        <v>07</v>
      </c>
      <c r="I286" s="17" t="s">
        <v>18</v>
      </c>
      <c r="J286" s="17" t="str">
        <f t="shared" si="34"/>
        <v>07 Extracción de minerales metalíferos</v>
      </c>
      <c r="K286" s="14" t="str">
        <f t="shared" ref="K286:K317" si="38">LEFT(M286,3)</f>
        <v>072</v>
      </c>
      <c r="L286" s="15" t="s">
        <v>19</v>
      </c>
      <c r="M286" s="18" t="s">
        <v>20</v>
      </c>
      <c r="N286" s="15" t="s">
        <v>21</v>
      </c>
      <c r="O286" s="16" t="str">
        <f t="shared" si="35"/>
        <v>0729 Extracción de otros minerales metalíferos no ferrosos</v>
      </c>
      <c r="P286" s="10">
        <v>5518520.5899999999</v>
      </c>
    </row>
    <row r="287" spans="2:16" s="12" customFormat="1" ht="24" x14ac:dyDescent="0.25">
      <c r="B287" s="13" t="s">
        <v>72</v>
      </c>
      <c r="C287" s="19">
        <v>2009</v>
      </c>
      <c r="D287" s="38">
        <v>20170072465</v>
      </c>
      <c r="E287" s="14" t="s">
        <v>16</v>
      </c>
      <c r="F287" s="15" t="s">
        <v>17</v>
      </c>
      <c r="G287" s="16" t="str">
        <f t="shared" si="36"/>
        <v>B Explotación de minas y canteras</v>
      </c>
      <c r="H287" s="14" t="str">
        <f t="shared" si="37"/>
        <v>07</v>
      </c>
      <c r="I287" s="17" t="s">
        <v>18</v>
      </c>
      <c r="J287" s="17" t="str">
        <f t="shared" si="34"/>
        <v>07 Extracción de minerales metalíferos</v>
      </c>
      <c r="K287" s="14" t="str">
        <f t="shared" si="38"/>
        <v>072</v>
      </c>
      <c r="L287" s="15" t="s">
        <v>19</v>
      </c>
      <c r="M287" s="18" t="s">
        <v>20</v>
      </c>
      <c r="N287" s="15" t="s">
        <v>21</v>
      </c>
      <c r="O287" s="16" t="str">
        <f t="shared" si="35"/>
        <v>0729 Extracción de otros minerales metalíferos no ferrosos</v>
      </c>
      <c r="P287" s="10">
        <v>6118691.7300000004</v>
      </c>
    </row>
    <row r="288" spans="2:16" s="12" customFormat="1" ht="24" x14ac:dyDescent="0.25">
      <c r="B288" s="13" t="s">
        <v>72</v>
      </c>
      <c r="C288" s="19">
        <v>2010</v>
      </c>
      <c r="D288" s="38">
        <v>20170072465</v>
      </c>
      <c r="E288" s="14" t="s">
        <v>16</v>
      </c>
      <c r="F288" s="15" t="s">
        <v>17</v>
      </c>
      <c r="G288" s="16" t="str">
        <f t="shared" si="36"/>
        <v>B Explotación de minas y canteras</v>
      </c>
      <c r="H288" s="14" t="str">
        <f t="shared" si="37"/>
        <v>07</v>
      </c>
      <c r="I288" s="17" t="s">
        <v>18</v>
      </c>
      <c r="J288" s="17" t="str">
        <f t="shared" si="34"/>
        <v>07 Extracción de minerales metalíferos</v>
      </c>
      <c r="K288" s="14" t="str">
        <f t="shared" si="38"/>
        <v>072</v>
      </c>
      <c r="L288" s="15" t="s">
        <v>19</v>
      </c>
      <c r="M288" s="18" t="s">
        <v>20</v>
      </c>
      <c r="N288" s="15" t="s">
        <v>21</v>
      </c>
      <c r="O288" s="16" t="str">
        <f t="shared" si="35"/>
        <v>0729 Extracción de otros minerales metalíferos no ferrosos</v>
      </c>
      <c r="P288" s="10">
        <v>120959.43</v>
      </c>
    </row>
    <row r="289" spans="1:16" s="12" customFormat="1" ht="24" x14ac:dyDescent="0.25">
      <c r="B289" s="13" t="s">
        <v>72</v>
      </c>
      <c r="C289" s="19">
        <v>2011</v>
      </c>
      <c r="D289" s="38">
        <v>20170072465</v>
      </c>
      <c r="E289" s="14" t="s">
        <v>16</v>
      </c>
      <c r="F289" s="15" t="s">
        <v>17</v>
      </c>
      <c r="G289" s="16" t="str">
        <f t="shared" si="36"/>
        <v>B Explotación de minas y canteras</v>
      </c>
      <c r="H289" s="14" t="str">
        <f t="shared" si="37"/>
        <v>07</v>
      </c>
      <c r="I289" s="17" t="s">
        <v>18</v>
      </c>
      <c r="J289" s="17" t="str">
        <f t="shared" si="34"/>
        <v>07 Extracción de minerales metalíferos</v>
      </c>
      <c r="K289" s="14" t="str">
        <f t="shared" si="38"/>
        <v>072</v>
      </c>
      <c r="L289" s="15" t="s">
        <v>19</v>
      </c>
      <c r="M289" s="18" t="s">
        <v>20</v>
      </c>
      <c r="N289" s="15" t="s">
        <v>21</v>
      </c>
      <c r="O289" s="16" t="str">
        <f t="shared" si="35"/>
        <v>0729 Extracción de otros minerales metalíferos no ferrosos</v>
      </c>
      <c r="P289" s="10">
        <v>7672589.4000000004</v>
      </c>
    </row>
    <row r="290" spans="1:16" s="12" customFormat="1" ht="24" x14ac:dyDescent="0.25">
      <c r="B290" s="13" t="s">
        <v>72</v>
      </c>
      <c r="C290" s="19">
        <v>2012</v>
      </c>
      <c r="D290" s="38">
        <v>20170072465</v>
      </c>
      <c r="E290" s="14" t="s">
        <v>16</v>
      </c>
      <c r="F290" s="15" t="s">
        <v>17</v>
      </c>
      <c r="G290" s="16" t="str">
        <f t="shared" si="36"/>
        <v>B Explotación de minas y canteras</v>
      </c>
      <c r="H290" s="14" t="str">
        <f t="shared" si="37"/>
        <v>07</v>
      </c>
      <c r="I290" s="17" t="s">
        <v>18</v>
      </c>
      <c r="J290" s="17" t="str">
        <f t="shared" si="34"/>
        <v>07 Extracción de minerales metalíferos</v>
      </c>
      <c r="K290" s="14" t="str">
        <f t="shared" si="38"/>
        <v>072</v>
      </c>
      <c r="L290" s="15" t="s">
        <v>19</v>
      </c>
      <c r="M290" s="18" t="s">
        <v>20</v>
      </c>
      <c r="N290" s="15" t="s">
        <v>21</v>
      </c>
      <c r="O290" s="16" t="str">
        <f t="shared" si="35"/>
        <v>0729 Extracción de otros minerales metalíferos no ferrosos</v>
      </c>
      <c r="P290" s="10">
        <v>7496052.6799999997</v>
      </c>
    </row>
    <row r="291" spans="1:16" s="12" customFormat="1" ht="24" x14ac:dyDescent="0.25">
      <c r="B291" s="13" t="s">
        <v>72</v>
      </c>
      <c r="C291" s="19">
        <v>2013</v>
      </c>
      <c r="D291" s="38">
        <v>20170072465</v>
      </c>
      <c r="E291" s="14" t="s">
        <v>16</v>
      </c>
      <c r="F291" s="15" t="s">
        <v>17</v>
      </c>
      <c r="G291" s="16" t="str">
        <f t="shared" si="36"/>
        <v>B Explotación de minas y canteras</v>
      </c>
      <c r="H291" s="14" t="str">
        <f t="shared" si="37"/>
        <v>07</v>
      </c>
      <c r="I291" s="17" t="s">
        <v>18</v>
      </c>
      <c r="J291" s="17" t="str">
        <f t="shared" si="34"/>
        <v>07 Extracción de minerales metalíferos</v>
      </c>
      <c r="K291" s="14" t="str">
        <f t="shared" si="38"/>
        <v>072</v>
      </c>
      <c r="L291" s="15" t="s">
        <v>19</v>
      </c>
      <c r="M291" s="18" t="s">
        <v>20</v>
      </c>
      <c r="N291" s="15" t="s">
        <v>21</v>
      </c>
      <c r="O291" s="16" t="str">
        <f t="shared" si="35"/>
        <v>0729 Extracción de otros minerales metalíferos no ferrosos</v>
      </c>
      <c r="P291" s="10">
        <v>58164.92</v>
      </c>
    </row>
    <row r="292" spans="1:16" s="52" customFormat="1" ht="24" x14ac:dyDescent="0.25">
      <c r="A292" s="12"/>
      <c r="B292" s="13" t="s">
        <v>72</v>
      </c>
      <c r="C292" s="19">
        <v>2014</v>
      </c>
      <c r="D292" s="38">
        <v>20170072465</v>
      </c>
      <c r="E292" s="14" t="s">
        <v>16</v>
      </c>
      <c r="F292" s="15" t="s">
        <v>17</v>
      </c>
      <c r="G292" s="16" t="str">
        <f t="shared" si="36"/>
        <v>B Explotación de minas y canteras</v>
      </c>
      <c r="H292" s="14" t="str">
        <f t="shared" si="37"/>
        <v>07</v>
      </c>
      <c r="I292" s="17" t="s">
        <v>18</v>
      </c>
      <c r="J292" s="17" t="str">
        <f t="shared" si="34"/>
        <v>07 Extracción de minerales metalíferos</v>
      </c>
      <c r="K292" s="14" t="str">
        <f t="shared" si="38"/>
        <v>072</v>
      </c>
      <c r="L292" s="15" t="s">
        <v>19</v>
      </c>
      <c r="M292" s="18" t="s">
        <v>20</v>
      </c>
      <c r="N292" s="15" t="s">
        <v>21</v>
      </c>
      <c r="O292" s="16" t="str">
        <f t="shared" si="35"/>
        <v>0729 Extracción de otros minerales metalíferos no ferrosos</v>
      </c>
      <c r="P292" s="10">
        <v>1068.44</v>
      </c>
    </row>
    <row r="293" spans="1:16" s="12" customFormat="1" ht="24" x14ac:dyDescent="0.25">
      <c r="B293" s="13" t="s">
        <v>72</v>
      </c>
      <c r="C293" s="19">
        <v>2021</v>
      </c>
      <c r="D293" s="38">
        <v>20170072465</v>
      </c>
      <c r="E293" s="14" t="s">
        <v>16</v>
      </c>
      <c r="F293" s="15" t="s">
        <v>17</v>
      </c>
      <c r="G293" s="16" t="str">
        <f t="shared" si="36"/>
        <v>B Explotación de minas y canteras</v>
      </c>
      <c r="H293" s="14" t="str">
        <f t="shared" si="37"/>
        <v>07</v>
      </c>
      <c r="I293" s="17" t="s">
        <v>18</v>
      </c>
      <c r="J293" s="17" t="str">
        <f t="shared" si="34"/>
        <v>07 Extracción de minerales metalíferos</v>
      </c>
      <c r="K293" s="14" t="str">
        <f t="shared" si="38"/>
        <v>072</v>
      </c>
      <c r="L293" s="15" t="s">
        <v>19</v>
      </c>
      <c r="M293" s="18" t="s">
        <v>20</v>
      </c>
      <c r="N293" s="15" t="s">
        <v>21</v>
      </c>
      <c r="O293" s="16" t="str">
        <f t="shared" si="35"/>
        <v>0729 Extracción de otros minerales metalíferos no ferrosos</v>
      </c>
      <c r="P293" s="10">
        <v>4022012.71</v>
      </c>
    </row>
    <row r="294" spans="1:16" s="12" customFormat="1" ht="48" x14ac:dyDescent="0.25">
      <c r="B294" s="13" t="s">
        <v>281</v>
      </c>
      <c r="C294" s="19">
        <v>2021</v>
      </c>
      <c r="D294" s="38">
        <v>20196722808</v>
      </c>
      <c r="E294" s="14" t="s">
        <v>23</v>
      </c>
      <c r="F294" s="15" t="s">
        <v>24</v>
      </c>
      <c r="G294" s="16" t="str">
        <f t="shared" si="36"/>
        <v>C Industria manufacturera</v>
      </c>
      <c r="H294" s="14" t="str">
        <f t="shared" si="37"/>
        <v>20</v>
      </c>
      <c r="I294" s="17" t="s">
        <v>260</v>
      </c>
      <c r="J294" s="17" t="str">
        <f t="shared" si="34"/>
        <v>20 Fabricación de sustancias y productos químicos</v>
      </c>
      <c r="K294" s="14" t="str">
        <f t="shared" si="38"/>
        <v>201</v>
      </c>
      <c r="L294" s="15" t="s">
        <v>261</v>
      </c>
      <c r="M294" s="18" t="s">
        <v>282</v>
      </c>
      <c r="N294" s="15" t="s">
        <v>283</v>
      </c>
      <c r="O294" s="16" t="str">
        <f t="shared" si="35"/>
        <v>2012 Fabricación de abonos y compuestos de nitrogeno</v>
      </c>
      <c r="P294" s="10">
        <v>1278.7</v>
      </c>
    </row>
    <row r="295" spans="1:16" s="12" customFormat="1" ht="48" x14ac:dyDescent="0.25">
      <c r="B295" s="13" t="s">
        <v>281</v>
      </c>
      <c r="C295" s="19">
        <v>2022</v>
      </c>
      <c r="D295" s="38">
        <v>20196722808</v>
      </c>
      <c r="E295" s="14" t="s">
        <v>23</v>
      </c>
      <c r="F295" s="15" t="s">
        <v>24</v>
      </c>
      <c r="G295" s="16" t="str">
        <f t="shared" si="36"/>
        <v>C Industria manufacturera</v>
      </c>
      <c r="H295" s="14" t="str">
        <f t="shared" si="37"/>
        <v>20</v>
      </c>
      <c r="I295" s="17" t="s">
        <v>260</v>
      </c>
      <c r="J295" s="17" t="str">
        <f t="shared" si="34"/>
        <v>20 Fabricación de sustancias y productos químicos</v>
      </c>
      <c r="K295" s="14" t="str">
        <f t="shared" si="38"/>
        <v>201</v>
      </c>
      <c r="L295" s="15" t="s">
        <v>261</v>
      </c>
      <c r="M295" s="18" t="s">
        <v>282</v>
      </c>
      <c r="N295" s="15" t="s">
        <v>283</v>
      </c>
      <c r="O295" s="16" t="str">
        <f t="shared" si="35"/>
        <v>2012 Fabricación de abonos y compuestos de nitrogeno</v>
      </c>
      <c r="P295" s="10">
        <v>1069.29</v>
      </c>
    </row>
    <row r="296" spans="1:16" s="12" customFormat="1" ht="24" x14ac:dyDescent="0.25">
      <c r="B296" s="13" t="s">
        <v>202</v>
      </c>
      <c r="C296" s="19">
        <v>2014</v>
      </c>
      <c r="D296" s="38">
        <v>20205467603</v>
      </c>
      <c r="E296" s="14" t="s">
        <v>16</v>
      </c>
      <c r="F296" s="15" t="s">
        <v>17</v>
      </c>
      <c r="G296" s="16" t="str">
        <f t="shared" si="36"/>
        <v>B Explotación de minas y canteras</v>
      </c>
      <c r="H296" s="14" t="str">
        <f t="shared" si="37"/>
        <v>07</v>
      </c>
      <c r="I296" s="17" t="s">
        <v>18</v>
      </c>
      <c r="J296" s="17" t="str">
        <f t="shared" si="34"/>
        <v>07 Extracción de minerales metalíferos</v>
      </c>
      <c r="K296" s="14" t="str">
        <f t="shared" si="38"/>
        <v>072</v>
      </c>
      <c r="L296" s="15" t="s">
        <v>19</v>
      </c>
      <c r="M296" s="18" t="s">
        <v>20</v>
      </c>
      <c r="N296" s="15" t="s">
        <v>21</v>
      </c>
      <c r="O296" s="16" t="str">
        <f t="shared" si="35"/>
        <v>0729 Extracción de otros minerales metalíferos no ferrosos</v>
      </c>
      <c r="P296" s="10">
        <v>8898.52</v>
      </c>
    </row>
    <row r="297" spans="1:16" s="12" customFormat="1" ht="24" x14ac:dyDescent="0.25">
      <c r="A297" s="41"/>
      <c r="B297" s="22" t="s">
        <v>388</v>
      </c>
      <c r="C297" s="50">
        <v>2003</v>
      </c>
      <c r="D297" s="38">
        <v>20209133394</v>
      </c>
      <c r="E297" s="55" t="s">
        <v>48</v>
      </c>
      <c r="F297" s="42" t="s">
        <v>49</v>
      </c>
      <c r="G297" s="43" t="str">
        <f t="shared" si="36"/>
        <v>D Suministro de electricidad, gas, vapor y aire acondicionado</v>
      </c>
      <c r="H297" s="44" t="str">
        <f t="shared" si="37"/>
        <v>35</v>
      </c>
      <c r="I297" s="45" t="s">
        <v>49</v>
      </c>
      <c r="J297" s="45" t="str">
        <f t="shared" si="34"/>
        <v>35 Suministro de electricidad, gas, vapor y aire acondicionado</v>
      </c>
      <c r="K297" s="44" t="str">
        <f t="shared" si="38"/>
        <v>351</v>
      </c>
      <c r="L297" s="42" t="s">
        <v>50</v>
      </c>
      <c r="M297" s="46" t="s">
        <v>51</v>
      </c>
      <c r="N297" s="42" t="s">
        <v>50</v>
      </c>
      <c r="O297" s="43" t="str">
        <f t="shared" si="35"/>
        <v>3510 Generación, transmisión y distribución de energía eléctrica</v>
      </c>
      <c r="P297" s="51">
        <v>1165466.1299999999</v>
      </c>
    </row>
    <row r="298" spans="1:16" s="12" customFormat="1" ht="24" x14ac:dyDescent="0.25">
      <c r="B298" s="22" t="s">
        <v>388</v>
      </c>
      <c r="C298" s="19">
        <v>2004</v>
      </c>
      <c r="D298" s="38">
        <v>20209133394</v>
      </c>
      <c r="E298" s="14" t="s">
        <v>16</v>
      </c>
      <c r="F298" s="15" t="s">
        <v>17</v>
      </c>
      <c r="G298" s="16" t="str">
        <f t="shared" si="36"/>
        <v>B Explotación de minas y canteras</v>
      </c>
      <c r="H298" s="14" t="str">
        <f t="shared" si="37"/>
        <v>07</v>
      </c>
      <c r="I298" s="17" t="s">
        <v>18</v>
      </c>
      <c r="J298" s="17" t="str">
        <f t="shared" si="34"/>
        <v>07 Extracción de minerales metalíferos</v>
      </c>
      <c r="K298" s="14" t="str">
        <f t="shared" si="38"/>
        <v>072</v>
      </c>
      <c r="L298" s="15" t="s">
        <v>19</v>
      </c>
      <c r="M298" s="18" t="s">
        <v>20</v>
      </c>
      <c r="N298" s="15" t="s">
        <v>21</v>
      </c>
      <c r="O298" s="16" t="str">
        <f t="shared" si="35"/>
        <v>0729 Extracción de otros minerales metalíferos no ferrosos</v>
      </c>
      <c r="P298" s="10">
        <v>9596.6</v>
      </c>
    </row>
    <row r="299" spans="1:16" s="12" customFormat="1" ht="24" x14ac:dyDescent="0.25">
      <c r="B299" s="22" t="s">
        <v>388</v>
      </c>
      <c r="C299" s="19">
        <v>2006</v>
      </c>
      <c r="D299" s="38">
        <v>20209133394</v>
      </c>
      <c r="E299" s="14" t="s">
        <v>16</v>
      </c>
      <c r="F299" s="15" t="s">
        <v>17</v>
      </c>
      <c r="G299" s="16" t="str">
        <f t="shared" si="36"/>
        <v>B Explotación de minas y canteras</v>
      </c>
      <c r="H299" s="14" t="str">
        <f t="shared" si="37"/>
        <v>07</v>
      </c>
      <c r="I299" s="17" t="s">
        <v>18</v>
      </c>
      <c r="J299" s="17" t="str">
        <f t="shared" si="34"/>
        <v>07 Extracción de minerales metalíferos</v>
      </c>
      <c r="K299" s="14" t="str">
        <f t="shared" si="38"/>
        <v>072</v>
      </c>
      <c r="L299" s="15" t="s">
        <v>19</v>
      </c>
      <c r="M299" s="18" t="s">
        <v>20</v>
      </c>
      <c r="N299" s="15" t="s">
        <v>21</v>
      </c>
      <c r="O299" s="16" t="str">
        <f t="shared" si="35"/>
        <v>0729 Extracción de otros minerales metalíferos no ferrosos</v>
      </c>
      <c r="P299" s="10">
        <v>3583380.26</v>
      </c>
    </row>
    <row r="300" spans="1:16" s="12" customFormat="1" ht="24" x14ac:dyDescent="0.25">
      <c r="B300" s="22" t="s">
        <v>388</v>
      </c>
      <c r="C300" s="19">
        <v>2007</v>
      </c>
      <c r="D300" s="38">
        <v>20209133394</v>
      </c>
      <c r="E300" s="14" t="s">
        <v>16</v>
      </c>
      <c r="F300" s="15" t="s">
        <v>17</v>
      </c>
      <c r="G300" s="16" t="str">
        <f t="shared" si="36"/>
        <v>B Explotación de minas y canteras</v>
      </c>
      <c r="H300" s="14" t="str">
        <f t="shared" si="37"/>
        <v>07</v>
      </c>
      <c r="I300" s="17" t="s">
        <v>18</v>
      </c>
      <c r="J300" s="17" t="str">
        <f t="shared" si="34"/>
        <v>07 Extracción de minerales metalíferos</v>
      </c>
      <c r="K300" s="14" t="str">
        <f t="shared" si="38"/>
        <v>072</v>
      </c>
      <c r="L300" s="15" t="s">
        <v>19</v>
      </c>
      <c r="M300" s="18" t="s">
        <v>20</v>
      </c>
      <c r="N300" s="15" t="s">
        <v>21</v>
      </c>
      <c r="O300" s="16" t="str">
        <f t="shared" si="35"/>
        <v>0729 Extracción de otros minerales metalíferos no ferrosos</v>
      </c>
      <c r="P300" s="10">
        <v>12197729.529999999</v>
      </c>
    </row>
    <row r="301" spans="1:16" s="12" customFormat="1" ht="24" x14ac:dyDescent="0.25">
      <c r="B301" s="22" t="s">
        <v>388</v>
      </c>
      <c r="C301" s="19">
        <v>2008</v>
      </c>
      <c r="D301" s="38">
        <v>20209133394</v>
      </c>
      <c r="E301" s="14" t="s">
        <v>16</v>
      </c>
      <c r="F301" s="15" t="s">
        <v>17</v>
      </c>
      <c r="G301" s="16" t="str">
        <f t="shared" si="36"/>
        <v>B Explotación de minas y canteras</v>
      </c>
      <c r="H301" s="14" t="str">
        <f t="shared" si="37"/>
        <v>07</v>
      </c>
      <c r="I301" s="17" t="s">
        <v>18</v>
      </c>
      <c r="J301" s="17" t="str">
        <f t="shared" si="34"/>
        <v>07 Extracción de minerales metalíferos</v>
      </c>
      <c r="K301" s="14" t="str">
        <f t="shared" si="38"/>
        <v>072</v>
      </c>
      <c r="L301" s="15" t="s">
        <v>19</v>
      </c>
      <c r="M301" s="18" t="s">
        <v>20</v>
      </c>
      <c r="N301" s="15" t="s">
        <v>21</v>
      </c>
      <c r="O301" s="16" t="str">
        <f t="shared" si="35"/>
        <v>0729 Extracción de otros minerales metalíferos no ferrosos</v>
      </c>
      <c r="P301" s="10">
        <v>15186190.289999999</v>
      </c>
    </row>
    <row r="302" spans="1:16" s="12" customFormat="1" ht="24" x14ac:dyDescent="0.25">
      <c r="B302" s="22" t="s">
        <v>388</v>
      </c>
      <c r="C302" s="19">
        <v>2009</v>
      </c>
      <c r="D302" s="38">
        <v>20209133394</v>
      </c>
      <c r="E302" s="14" t="s">
        <v>16</v>
      </c>
      <c r="F302" s="15" t="s">
        <v>17</v>
      </c>
      <c r="G302" s="16" t="str">
        <f t="shared" si="36"/>
        <v>B Explotación de minas y canteras</v>
      </c>
      <c r="H302" s="14" t="str">
        <f t="shared" si="37"/>
        <v>07</v>
      </c>
      <c r="I302" s="17" t="s">
        <v>18</v>
      </c>
      <c r="J302" s="17" t="str">
        <f t="shared" si="34"/>
        <v>07 Extracción de minerales metalíferos</v>
      </c>
      <c r="K302" s="14" t="str">
        <f t="shared" si="38"/>
        <v>072</v>
      </c>
      <c r="L302" s="15" t="s">
        <v>19</v>
      </c>
      <c r="M302" s="18" t="s">
        <v>20</v>
      </c>
      <c r="N302" s="15" t="s">
        <v>21</v>
      </c>
      <c r="O302" s="16" t="str">
        <f t="shared" si="35"/>
        <v>0729 Extracción de otros minerales metalíferos no ferrosos</v>
      </c>
      <c r="P302" s="10">
        <v>13273731.6</v>
      </c>
    </row>
    <row r="303" spans="1:16" s="12" customFormat="1" ht="24" x14ac:dyDescent="0.25">
      <c r="B303" s="22" t="s">
        <v>388</v>
      </c>
      <c r="C303" s="19">
        <v>2010</v>
      </c>
      <c r="D303" s="38">
        <v>20209133394</v>
      </c>
      <c r="E303" s="14" t="s">
        <v>16</v>
      </c>
      <c r="F303" s="15" t="s">
        <v>17</v>
      </c>
      <c r="G303" s="16" t="str">
        <f t="shared" si="36"/>
        <v>B Explotación de minas y canteras</v>
      </c>
      <c r="H303" s="14" t="str">
        <f t="shared" si="37"/>
        <v>07</v>
      </c>
      <c r="I303" s="17" t="s">
        <v>18</v>
      </c>
      <c r="J303" s="17" t="str">
        <f t="shared" si="34"/>
        <v>07 Extracción de minerales metalíferos</v>
      </c>
      <c r="K303" s="14" t="str">
        <f t="shared" si="38"/>
        <v>072</v>
      </c>
      <c r="L303" s="15" t="s">
        <v>19</v>
      </c>
      <c r="M303" s="18" t="s">
        <v>20</v>
      </c>
      <c r="N303" s="15" t="s">
        <v>21</v>
      </c>
      <c r="O303" s="16" t="str">
        <f t="shared" si="35"/>
        <v>0729 Extracción de otros minerales metalíferos no ferrosos</v>
      </c>
      <c r="P303" s="10">
        <v>4106654.25</v>
      </c>
    </row>
    <row r="304" spans="1:16" s="12" customFormat="1" ht="24" x14ac:dyDescent="0.25">
      <c r="B304" s="22" t="s">
        <v>388</v>
      </c>
      <c r="C304" s="19">
        <v>2011</v>
      </c>
      <c r="D304" s="38">
        <v>20209133394</v>
      </c>
      <c r="E304" s="14" t="s">
        <v>16</v>
      </c>
      <c r="F304" s="15" t="s">
        <v>17</v>
      </c>
      <c r="G304" s="16" t="str">
        <f t="shared" si="36"/>
        <v>B Explotación de minas y canteras</v>
      </c>
      <c r="H304" s="14" t="str">
        <f t="shared" si="37"/>
        <v>07</v>
      </c>
      <c r="I304" s="17" t="s">
        <v>18</v>
      </c>
      <c r="J304" s="17" t="str">
        <f t="shared" si="34"/>
        <v>07 Extracción de minerales metalíferos</v>
      </c>
      <c r="K304" s="14" t="str">
        <f t="shared" si="38"/>
        <v>072</v>
      </c>
      <c r="L304" s="15" t="s">
        <v>19</v>
      </c>
      <c r="M304" s="18" t="s">
        <v>20</v>
      </c>
      <c r="N304" s="15" t="s">
        <v>21</v>
      </c>
      <c r="O304" s="16" t="str">
        <f t="shared" si="35"/>
        <v>0729 Extracción de otros minerales metalíferos no ferrosos</v>
      </c>
      <c r="P304" s="10">
        <v>7409996.4000000004</v>
      </c>
    </row>
    <row r="305" spans="1:16" s="12" customFormat="1" ht="24" x14ac:dyDescent="0.25">
      <c r="B305" s="22" t="s">
        <v>388</v>
      </c>
      <c r="C305" s="19">
        <v>2012</v>
      </c>
      <c r="D305" s="38">
        <v>20209133394</v>
      </c>
      <c r="E305" s="14" t="s">
        <v>16</v>
      </c>
      <c r="F305" s="15" t="s">
        <v>17</v>
      </c>
      <c r="G305" s="16" t="str">
        <f t="shared" si="36"/>
        <v>B Explotación de minas y canteras</v>
      </c>
      <c r="H305" s="14" t="str">
        <f t="shared" si="37"/>
        <v>07</v>
      </c>
      <c r="I305" s="17" t="s">
        <v>18</v>
      </c>
      <c r="J305" s="17" t="str">
        <f t="shared" si="34"/>
        <v>07 Extracción de minerales metalíferos</v>
      </c>
      <c r="K305" s="14" t="str">
        <f t="shared" si="38"/>
        <v>072</v>
      </c>
      <c r="L305" s="15" t="s">
        <v>19</v>
      </c>
      <c r="M305" s="18" t="s">
        <v>20</v>
      </c>
      <c r="N305" s="15" t="s">
        <v>21</v>
      </c>
      <c r="O305" s="16" t="str">
        <f t="shared" si="35"/>
        <v>0729 Extracción de otros minerales metalíferos no ferrosos</v>
      </c>
      <c r="P305" s="10">
        <v>15353244.629999999</v>
      </c>
    </row>
    <row r="306" spans="1:16" s="12" customFormat="1" ht="24" x14ac:dyDescent="0.25">
      <c r="B306" s="22" t="s">
        <v>388</v>
      </c>
      <c r="C306" s="19">
        <v>2013</v>
      </c>
      <c r="D306" s="38">
        <v>20209133394</v>
      </c>
      <c r="E306" s="14" t="s">
        <v>16</v>
      </c>
      <c r="F306" s="15" t="s">
        <v>17</v>
      </c>
      <c r="G306" s="16" t="str">
        <f t="shared" si="36"/>
        <v>B Explotación de minas y canteras</v>
      </c>
      <c r="H306" s="14" t="str">
        <f t="shared" si="37"/>
        <v>07</v>
      </c>
      <c r="I306" s="17" t="s">
        <v>18</v>
      </c>
      <c r="J306" s="17" t="str">
        <f t="shared" si="34"/>
        <v>07 Extracción de minerales metalíferos</v>
      </c>
      <c r="K306" s="14" t="str">
        <f t="shared" si="38"/>
        <v>072</v>
      </c>
      <c r="L306" s="15" t="s">
        <v>19</v>
      </c>
      <c r="M306" s="18" t="s">
        <v>20</v>
      </c>
      <c r="N306" s="15" t="s">
        <v>21</v>
      </c>
      <c r="O306" s="16" t="str">
        <f t="shared" si="35"/>
        <v>0729 Extracción de otros minerales metalíferos no ferrosos</v>
      </c>
      <c r="P306" s="10">
        <v>17564832.989999998</v>
      </c>
    </row>
    <row r="307" spans="1:16" s="12" customFormat="1" ht="24" x14ac:dyDescent="0.25">
      <c r="B307" s="22" t="s">
        <v>388</v>
      </c>
      <c r="C307" s="19">
        <v>2014</v>
      </c>
      <c r="D307" s="38">
        <v>20209133394</v>
      </c>
      <c r="E307" s="14" t="s">
        <v>16</v>
      </c>
      <c r="F307" s="15" t="s">
        <v>17</v>
      </c>
      <c r="G307" s="16" t="str">
        <f t="shared" si="36"/>
        <v>B Explotación de minas y canteras</v>
      </c>
      <c r="H307" s="14" t="str">
        <f t="shared" si="37"/>
        <v>07</v>
      </c>
      <c r="I307" s="17" t="s">
        <v>18</v>
      </c>
      <c r="J307" s="17" t="str">
        <f t="shared" si="34"/>
        <v>07 Extracción de minerales metalíferos</v>
      </c>
      <c r="K307" s="14" t="str">
        <f t="shared" si="38"/>
        <v>072</v>
      </c>
      <c r="L307" s="15" t="s">
        <v>19</v>
      </c>
      <c r="M307" s="18" t="s">
        <v>20</v>
      </c>
      <c r="N307" s="15" t="s">
        <v>21</v>
      </c>
      <c r="O307" s="16" t="str">
        <f t="shared" si="35"/>
        <v>0729 Extracción de otros minerales metalíferos no ferrosos</v>
      </c>
      <c r="P307" s="10">
        <v>1140912.93</v>
      </c>
    </row>
    <row r="308" spans="1:16" s="12" customFormat="1" ht="24" x14ac:dyDescent="0.25">
      <c r="B308" s="22" t="s">
        <v>388</v>
      </c>
      <c r="C308" s="19">
        <v>2015</v>
      </c>
      <c r="D308" s="38">
        <v>20209133394</v>
      </c>
      <c r="E308" s="14" t="s">
        <v>16</v>
      </c>
      <c r="F308" s="15" t="s">
        <v>17</v>
      </c>
      <c r="G308" s="16" t="str">
        <f t="shared" si="36"/>
        <v>B Explotación de minas y canteras</v>
      </c>
      <c r="H308" s="14" t="str">
        <f t="shared" si="37"/>
        <v>07</v>
      </c>
      <c r="I308" s="17" t="s">
        <v>18</v>
      </c>
      <c r="J308" s="17" t="str">
        <f t="shared" si="34"/>
        <v>07 Extracción de minerales metalíferos</v>
      </c>
      <c r="K308" s="14" t="str">
        <f t="shared" si="38"/>
        <v>072</v>
      </c>
      <c r="L308" s="15" t="s">
        <v>19</v>
      </c>
      <c r="M308" s="18" t="s">
        <v>20</v>
      </c>
      <c r="N308" s="15" t="s">
        <v>21</v>
      </c>
      <c r="O308" s="16" t="str">
        <f t="shared" si="35"/>
        <v>0729 Extracción de otros minerales metalíferos no ferrosos</v>
      </c>
      <c r="P308" s="10">
        <v>44273.4</v>
      </c>
    </row>
    <row r="309" spans="1:16" s="12" customFormat="1" ht="24" x14ac:dyDescent="0.25">
      <c r="B309" s="22" t="s">
        <v>388</v>
      </c>
      <c r="C309" s="19">
        <v>2018</v>
      </c>
      <c r="D309" s="38">
        <v>20209133394</v>
      </c>
      <c r="E309" s="14" t="s">
        <v>16</v>
      </c>
      <c r="F309" s="15" t="s">
        <v>17</v>
      </c>
      <c r="G309" s="16" t="str">
        <f t="shared" si="36"/>
        <v>B Explotación de minas y canteras</v>
      </c>
      <c r="H309" s="14" t="str">
        <f t="shared" si="37"/>
        <v>07</v>
      </c>
      <c r="I309" s="17" t="s">
        <v>18</v>
      </c>
      <c r="J309" s="17" t="str">
        <f t="shared" si="34"/>
        <v>07 Extracción de minerales metalíferos</v>
      </c>
      <c r="K309" s="14" t="str">
        <f t="shared" si="38"/>
        <v>072</v>
      </c>
      <c r="L309" s="15" t="s">
        <v>19</v>
      </c>
      <c r="M309" s="18" t="s">
        <v>20</v>
      </c>
      <c r="N309" s="15" t="s">
        <v>21</v>
      </c>
      <c r="O309" s="16" t="str">
        <f t="shared" si="35"/>
        <v>0729 Extracción de otros minerales metalíferos no ferrosos</v>
      </c>
      <c r="P309" s="10">
        <v>4796.1400000000003</v>
      </c>
    </row>
    <row r="310" spans="1:16" s="12" customFormat="1" ht="24" x14ac:dyDescent="0.25">
      <c r="A310" s="12">
        <v>22</v>
      </c>
      <c r="B310" s="22" t="s">
        <v>388</v>
      </c>
      <c r="C310" s="19">
        <v>2025</v>
      </c>
      <c r="D310" s="38">
        <v>20209133394</v>
      </c>
      <c r="E310" s="14" t="s">
        <v>16</v>
      </c>
      <c r="F310" s="15" t="s">
        <v>17</v>
      </c>
      <c r="G310" s="16" t="str">
        <f t="shared" si="36"/>
        <v>B Explotación de minas y canteras</v>
      </c>
      <c r="H310" s="14" t="str">
        <f t="shared" si="37"/>
        <v>07</v>
      </c>
      <c r="I310" s="17" t="s">
        <v>18</v>
      </c>
      <c r="J310" s="17" t="str">
        <f t="shared" si="34"/>
        <v>07 Extracción de minerales metalíferos</v>
      </c>
      <c r="K310" s="14" t="str">
        <f t="shared" si="38"/>
        <v>072</v>
      </c>
      <c r="L310" s="15" t="s">
        <v>19</v>
      </c>
      <c r="M310" s="18" t="s">
        <v>20</v>
      </c>
      <c r="N310" s="15" t="s">
        <v>21</v>
      </c>
      <c r="O310" s="16" t="str">
        <f t="shared" si="35"/>
        <v>0729 Extracción de otros minerales metalíferos no ferrosos</v>
      </c>
      <c r="P310" s="10">
        <v>30310.98</v>
      </c>
    </row>
    <row r="311" spans="1:16" s="12" customFormat="1" ht="24" x14ac:dyDescent="0.25">
      <c r="B311" s="13" t="s">
        <v>325</v>
      </c>
      <c r="C311" s="19">
        <v>2023</v>
      </c>
      <c r="D311" s="38">
        <v>20216293593</v>
      </c>
      <c r="E311" s="14" t="s">
        <v>48</v>
      </c>
      <c r="F311" s="15" t="s">
        <v>49</v>
      </c>
      <c r="G311" s="16" t="str">
        <f t="shared" si="36"/>
        <v>D Suministro de electricidad, gas, vapor y aire acondicionado</v>
      </c>
      <c r="H311" s="14" t="str">
        <f t="shared" si="37"/>
        <v>35</v>
      </c>
      <c r="I311" s="17" t="s">
        <v>49</v>
      </c>
      <c r="J311" s="17" t="str">
        <f t="shared" si="34"/>
        <v>35 Suministro de electricidad, gas, vapor y aire acondicionado</v>
      </c>
      <c r="K311" s="14" t="str">
        <f t="shared" si="38"/>
        <v>351</v>
      </c>
      <c r="L311" s="15" t="s">
        <v>50</v>
      </c>
      <c r="M311" s="18" t="s">
        <v>51</v>
      </c>
      <c r="N311" s="15" t="s">
        <v>50</v>
      </c>
      <c r="O311" s="16" t="str">
        <f t="shared" si="35"/>
        <v>3510 Generación, transmisión y distribución de energía eléctrica</v>
      </c>
      <c r="P311" s="10">
        <v>6364.67</v>
      </c>
    </row>
    <row r="312" spans="1:16" s="12" customFormat="1" ht="24" x14ac:dyDescent="0.25">
      <c r="B312" s="22" t="s">
        <v>325</v>
      </c>
      <c r="C312" s="19">
        <v>2024</v>
      </c>
      <c r="D312" s="38">
        <v>20216293593</v>
      </c>
      <c r="E312" s="14" t="s">
        <v>48</v>
      </c>
      <c r="F312" s="15" t="s">
        <v>49</v>
      </c>
      <c r="G312" s="16" t="str">
        <f t="shared" si="36"/>
        <v>D Suministro de electricidad, gas, vapor y aire acondicionado</v>
      </c>
      <c r="H312" s="14" t="str">
        <f t="shared" si="37"/>
        <v>35</v>
      </c>
      <c r="I312" s="17" t="s">
        <v>49</v>
      </c>
      <c r="J312" s="17" t="str">
        <f t="shared" si="34"/>
        <v>35 Suministro de electricidad, gas, vapor y aire acondicionado</v>
      </c>
      <c r="K312" s="14" t="str">
        <f t="shared" si="38"/>
        <v>351</v>
      </c>
      <c r="L312" s="15" t="s">
        <v>50</v>
      </c>
      <c r="M312" s="18" t="s">
        <v>51</v>
      </c>
      <c r="N312" s="15" t="s">
        <v>50</v>
      </c>
      <c r="O312" s="16" t="str">
        <f t="shared" si="35"/>
        <v>3510 Generación, transmisión y distribución de energía eléctrica</v>
      </c>
      <c r="P312" s="10">
        <v>6846.37</v>
      </c>
    </row>
    <row r="313" spans="1:16" s="12" customFormat="1" ht="24" x14ac:dyDescent="0.25">
      <c r="A313" s="12">
        <v>26</v>
      </c>
      <c r="B313" s="13" t="s">
        <v>389</v>
      </c>
      <c r="C313" s="19">
        <v>2025</v>
      </c>
      <c r="D313" s="38">
        <v>20218339167</v>
      </c>
      <c r="E313" s="14" t="s">
        <v>48</v>
      </c>
      <c r="F313" s="15" t="s">
        <v>49</v>
      </c>
      <c r="G313" s="16" t="str">
        <f t="shared" si="36"/>
        <v>D Suministro de electricidad, gas, vapor y aire acondicionado</v>
      </c>
      <c r="H313" s="14" t="str">
        <f t="shared" si="37"/>
        <v>35</v>
      </c>
      <c r="I313" s="17" t="s">
        <v>49</v>
      </c>
      <c r="J313" s="17" t="str">
        <f t="shared" si="34"/>
        <v>35 Suministro de electricidad, gas, vapor y aire acondicionado</v>
      </c>
      <c r="K313" s="14" t="str">
        <f t="shared" si="38"/>
        <v>351</v>
      </c>
      <c r="L313" s="15" t="s">
        <v>50</v>
      </c>
      <c r="M313" s="18" t="s">
        <v>51</v>
      </c>
      <c r="N313" s="15" t="s">
        <v>50</v>
      </c>
      <c r="O313" s="16" t="str">
        <f t="shared" si="35"/>
        <v>3510 Generación, transmisión y distribución de energía eléctrica</v>
      </c>
      <c r="P313" s="10">
        <v>6216.65</v>
      </c>
    </row>
    <row r="314" spans="1:16" s="12" customFormat="1" ht="24" x14ac:dyDescent="0.25">
      <c r="B314" s="13" t="s">
        <v>389</v>
      </c>
      <c r="C314" s="19">
        <v>2025</v>
      </c>
      <c r="D314" s="38">
        <v>20218339167</v>
      </c>
      <c r="E314" s="14" t="s">
        <v>48</v>
      </c>
      <c r="F314" s="15" t="s">
        <v>49</v>
      </c>
      <c r="G314" s="16" t="str">
        <f t="shared" si="36"/>
        <v>D Suministro de electricidad, gas, vapor y aire acondicionado</v>
      </c>
      <c r="H314" s="14" t="str">
        <f t="shared" si="37"/>
        <v>35</v>
      </c>
      <c r="I314" s="17" t="s">
        <v>49</v>
      </c>
      <c r="J314" s="17" t="str">
        <f t="shared" si="34"/>
        <v>35 Suministro de electricidad, gas, vapor y aire acondicionado</v>
      </c>
      <c r="K314" s="14" t="str">
        <f t="shared" si="38"/>
        <v>351</v>
      </c>
      <c r="L314" s="15" t="s">
        <v>50</v>
      </c>
      <c r="M314" s="18" t="s">
        <v>51</v>
      </c>
      <c r="N314" s="15" t="s">
        <v>50</v>
      </c>
      <c r="O314" s="16" t="str">
        <f t="shared" si="35"/>
        <v>3510 Generación, transmisión y distribución de energía eléctrica</v>
      </c>
      <c r="P314" s="10">
        <v>19768.5</v>
      </c>
    </row>
    <row r="315" spans="1:16" s="12" customFormat="1" ht="24" x14ac:dyDescent="0.25">
      <c r="B315" s="13" t="s">
        <v>389</v>
      </c>
      <c r="C315" s="19">
        <v>2025</v>
      </c>
      <c r="D315" s="38">
        <v>20218339167</v>
      </c>
      <c r="E315" s="14" t="s">
        <v>48</v>
      </c>
      <c r="F315" s="15" t="s">
        <v>49</v>
      </c>
      <c r="G315" s="16" t="str">
        <f t="shared" si="36"/>
        <v>D Suministro de electricidad, gas, vapor y aire acondicionado</v>
      </c>
      <c r="H315" s="14" t="str">
        <f t="shared" si="37"/>
        <v>35</v>
      </c>
      <c r="I315" s="17" t="s">
        <v>49</v>
      </c>
      <c r="J315" s="17" t="str">
        <f t="shared" si="34"/>
        <v>35 Suministro de electricidad, gas, vapor y aire acondicionado</v>
      </c>
      <c r="K315" s="14" t="str">
        <f t="shared" si="38"/>
        <v>351</v>
      </c>
      <c r="L315" s="15" t="s">
        <v>50</v>
      </c>
      <c r="M315" s="18" t="s">
        <v>51</v>
      </c>
      <c r="N315" s="15" t="s">
        <v>50</v>
      </c>
      <c r="O315" s="16" t="str">
        <f t="shared" si="35"/>
        <v>3510 Generación, transmisión y distribución de energía eléctrica</v>
      </c>
      <c r="P315" s="10">
        <v>526759.81999999995</v>
      </c>
    </row>
    <row r="316" spans="1:16" s="12" customFormat="1" ht="24" x14ac:dyDescent="0.25">
      <c r="B316" s="13" t="s">
        <v>250</v>
      </c>
      <c r="C316" s="19">
        <v>2018</v>
      </c>
      <c r="D316" s="38">
        <v>20222335052</v>
      </c>
      <c r="E316" s="14" t="s">
        <v>23</v>
      </c>
      <c r="F316" s="15" t="s">
        <v>24</v>
      </c>
      <c r="G316" s="16" t="str">
        <f t="shared" si="36"/>
        <v>C Industria manufacturera</v>
      </c>
      <c r="H316" s="14" t="str">
        <f t="shared" si="37"/>
        <v>11</v>
      </c>
      <c r="I316" s="17" t="s">
        <v>64</v>
      </c>
      <c r="J316" s="17" t="str">
        <f t="shared" si="34"/>
        <v>11 Elaboración de bebidas</v>
      </c>
      <c r="K316" s="14" t="str">
        <f t="shared" si="38"/>
        <v>110</v>
      </c>
      <c r="L316" s="15" t="s">
        <v>64</v>
      </c>
      <c r="M316" s="18" t="s">
        <v>251</v>
      </c>
      <c r="N316" s="15" t="s">
        <v>252</v>
      </c>
      <c r="O316" s="16" t="str">
        <f t="shared" si="35"/>
        <v>1101 Destilación, rectificación y mezcla de bebidas alcohólicas</v>
      </c>
      <c r="P316" s="10">
        <v>15390.57</v>
      </c>
    </row>
    <row r="317" spans="1:16" s="12" customFormat="1" ht="24" x14ac:dyDescent="0.25">
      <c r="B317" s="13" t="s">
        <v>250</v>
      </c>
      <c r="C317" s="19">
        <v>2019</v>
      </c>
      <c r="D317" s="38">
        <v>20222335052</v>
      </c>
      <c r="E317" s="14" t="s">
        <v>23</v>
      </c>
      <c r="F317" s="15" t="s">
        <v>24</v>
      </c>
      <c r="G317" s="16" t="str">
        <f t="shared" si="36"/>
        <v>C Industria manufacturera</v>
      </c>
      <c r="H317" s="14" t="str">
        <f t="shared" si="37"/>
        <v>11</v>
      </c>
      <c r="I317" s="17" t="s">
        <v>64</v>
      </c>
      <c r="J317" s="17" t="str">
        <f t="shared" si="34"/>
        <v>11 Elaboración de bebidas</v>
      </c>
      <c r="K317" s="14" t="str">
        <f t="shared" si="38"/>
        <v>110</v>
      </c>
      <c r="L317" s="15" t="s">
        <v>64</v>
      </c>
      <c r="M317" s="18" t="s">
        <v>251</v>
      </c>
      <c r="N317" s="15" t="s">
        <v>252</v>
      </c>
      <c r="O317" s="16" t="str">
        <f t="shared" si="35"/>
        <v>1101 Destilación, rectificación y mezcla de bebidas alcohólicas</v>
      </c>
      <c r="P317" s="10">
        <v>51079.41</v>
      </c>
    </row>
    <row r="318" spans="1:16" s="12" customFormat="1" ht="24" x14ac:dyDescent="0.25">
      <c r="B318" s="13" t="s">
        <v>250</v>
      </c>
      <c r="C318" s="19">
        <v>2020</v>
      </c>
      <c r="D318" s="38">
        <v>20222335052</v>
      </c>
      <c r="E318" s="14" t="s">
        <v>23</v>
      </c>
      <c r="F318" s="15" t="s">
        <v>24</v>
      </c>
      <c r="G318" s="16" t="str">
        <f t="shared" si="36"/>
        <v>C Industria manufacturera</v>
      </c>
      <c r="H318" s="14" t="str">
        <f t="shared" ref="H318:H330" si="39">LEFT(K318,2)</f>
        <v>11</v>
      </c>
      <c r="I318" s="17" t="s">
        <v>64</v>
      </c>
      <c r="J318" s="17" t="str">
        <f t="shared" si="34"/>
        <v>11 Elaboración de bebidas</v>
      </c>
      <c r="K318" s="14" t="str">
        <f t="shared" ref="K318:K330" si="40">LEFT(M318,3)</f>
        <v>110</v>
      </c>
      <c r="L318" s="15" t="s">
        <v>64</v>
      </c>
      <c r="M318" s="18" t="s">
        <v>251</v>
      </c>
      <c r="N318" s="15" t="s">
        <v>252</v>
      </c>
      <c r="O318" s="16" t="str">
        <f t="shared" si="35"/>
        <v>1101 Destilación, rectificación y mezcla de bebidas alcohólicas</v>
      </c>
      <c r="P318" s="10">
        <v>66095.81</v>
      </c>
    </row>
    <row r="319" spans="1:16" s="12" customFormat="1" ht="24" x14ac:dyDescent="0.25">
      <c r="B319" s="13" t="s">
        <v>250</v>
      </c>
      <c r="C319" s="19">
        <v>2021</v>
      </c>
      <c r="D319" s="38">
        <v>20222335052</v>
      </c>
      <c r="E319" s="14" t="s">
        <v>23</v>
      </c>
      <c r="F319" s="15" t="s">
        <v>24</v>
      </c>
      <c r="G319" s="16" t="str">
        <f t="shared" si="36"/>
        <v>C Industria manufacturera</v>
      </c>
      <c r="H319" s="14" t="str">
        <f t="shared" si="39"/>
        <v>11</v>
      </c>
      <c r="I319" s="17" t="s">
        <v>64</v>
      </c>
      <c r="J319" s="17" t="str">
        <f t="shared" si="34"/>
        <v>11 Elaboración de bebidas</v>
      </c>
      <c r="K319" s="14" t="str">
        <f t="shared" si="40"/>
        <v>110</v>
      </c>
      <c r="L319" s="15" t="s">
        <v>64</v>
      </c>
      <c r="M319" s="18" t="s">
        <v>251</v>
      </c>
      <c r="N319" s="15" t="s">
        <v>252</v>
      </c>
      <c r="O319" s="16" t="str">
        <f t="shared" si="35"/>
        <v>1101 Destilación, rectificación y mezcla de bebidas alcohólicas</v>
      </c>
      <c r="P319" s="10">
        <v>248576.49000000002</v>
      </c>
    </row>
    <row r="320" spans="1:16" s="12" customFormat="1" ht="24" x14ac:dyDescent="0.25">
      <c r="B320" s="13" t="s">
        <v>250</v>
      </c>
      <c r="C320" s="19">
        <v>2022</v>
      </c>
      <c r="D320" s="38">
        <v>20222335052</v>
      </c>
      <c r="E320" s="14" t="s">
        <v>23</v>
      </c>
      <c r="F320" s="15" t="s">
        <v>24</v>
      </c>
      <c r="G320" s="16" t="str">
        <f t="shared" si="36"/>
        <v>C Industria manufacturera</v>
      </c>
      <c r="H320" s="14" t="str">
        <f t="shared" si="39"/>
        <v>11</v>
      </c>
      <c r="I320" s="17" t="s">
        <v>64</v>
      </c>
      <c r="J320" s="17" t="str">
        <f t="shared" si="34"/>
        <v>11 Elaboración de bebidas</v>
      </c>
      <c r="K320" s="14" t="str">
        <f t="shared" si="40"/>
        <v>110</v>
      </c>
      <c r="L320" s="15" t="s">
        <v>64</v>
      </c>
      <c r="M320" s="18" t="s">
        <v>251</v>
      </c>
      <c r="N320" s="15" t="s">
        <v>252</v>
      </c>
      <c r="O320" s="16" t="str">
        <f t="shared" si="35"/>
        <v>1101 Destilación, rectificación y mezcla de bebidas alcohólicas</v>
      </c>
      <c r="P320" s="10">
        <v>855574.28999999992</v>
      </c>
    </row>
    <row r="321" spans="1:16" s="12" customFormat="1" ht="24" x14ac:dyDescent="0.25">
      <c r="B321" s="13" t="s">
        <v>250</v>
      </c>
      <c r="C321" s="19">
        <v>2023</v>
      </c>
      <c r="D321" s="38">
        <v>20222335052</v>
      </c>
      <c r="E321" s="14" t="s">
        <v>23</v>
      </c>
      <c r="F321" s="15" t="s">
        <v>24</v>
      </c>
      <c r="G321" s="16" t="str">
        <f t="shared" si="36"/>
        <v>C Industria manufacturera</v>
      </c>
      <c r="H321" s="14" t="str">
        <f t="shared" si="39"/>
        <v>11</v>
      </c>
      <c r="I321" s="17" t="s">
        <v>64</v>
      </c>
      <c r="J321" s="17" t="str">
        <f t="shared" si="34"/>
        <v>11 Elaboración de bebidas</v>
      </c>
      <c r="K321" s="14" t="str">
        <f t="shared" si="40"/>
        <v>110</v>
      </c>
      <c r="L321" s="15" t="s">
        <v>64</v>
      </c>
      <c r="M321" s="18" t="s">
        <v>251</v>
      </c>
      <c r="N321" s="15" t="s">
        <v>252</v>
      </c>
      <c r="O321" s="16" t="str">
        <f t="shared" si="35"/>
        <v>1101 Destilación, rectificación y mezcla de bebidas alcohólicas</v>
      </c>
      <c r="P321" s="10">
        <v>519738.19</v>
      </c>
    </row>
    <row r="322" spans="1:16" s="12" customFormat="1" ht="24" x14ac:dyDescent="0.25">
      <c r="B322" s="13" t="s">
        <v>250</v>
      </c>
      <c r="C322" s="19">
        <v>2024</v>
      </c>
      <c r="D322" s="38">
        <v>20222335052</v>
      </c>
      <c r="E322" s="14" t="s">
        <v>23</v>
      </c>
      <c r="F322" s="15" t="s">
        <v>24</v>
      </c>
      <c r="G322" s="16" t="str">
        <f t="shared" si="36"/>
        <v>C Industria manufacturera</v>
      </c>
      <c r="H322" s="14" t="str">
        <f t="shared" si="39"/>
        <v>11</v>
      </c>
      <c r="I322" s="17" t="s">
        <v>64</v>
      </c>
      <c r="J322" s="17" t="str">
        <f t="shared" ref="J322:J385" si="41">H322&amp;" "&amp;I322</f>
        <v>11 Elaboración de bebidas</v>
      </c>
      <c r="K322" s="14" t="str">
        <f t="shared" si="40"/>
        <v>110</v>
      </c>
      <c r="L322" s="15" t="s">
        <v>64</v>
      </c>
      <c r="M322" s="18" t="s">
        <v>251</v>
      </c>
      <c r="N322" s="15" t="s">
        <v>252</v>
      </c>
      <c r="O322" s="16" t="str">
        <f t="shared" ref="O322:O385" si="42">M322&amp;" "&amp;N322</f>
        <v>1101 Destilación, rectificación y mezcla de bebidas alcohólicas</v>
      </c>
      <c r="P322" s="10">
        <v>163771.58000000002</v>
      </c>
    </row>
    <row r="323" spans="1:16" s="12" customFormat="1" ht="24" x14ac:dyDescent="0.25">
      <c r="A323" s="12">
        <v>4</v>
      </c>
      <c r="B323" s="13" t="s">
        <v>250</v>
      </c>
      <c r="C323" s="19">
        <v>2025</v>
      </c>
      <c r="D323" s="38">
        <v>20222335052</v>
      </c>
      <c r="E323" s="14" t="s">
        <v>23</v>
      </c>
      <c r="F323" s="15" t="s">
        <v>24</v>
      </c>
      <c r="G323" s="16" t="str">
        <f t="shared" si="36"/>
        <v>C Industria manufacturera</v>
      </c>
      <c r="H323" s="14" t="str">
        <f t="shared" si="39"/>
        <v>11</v>
      </c>
      <c r="I323" s="17" t="s">
        <v>64</v>
      </c>
      <c r="J323" s="17" t="str">
        <f t="shared" si="41"/>
        <v>11 Elaboración de bebidas</v>
      </c>
      <c r="K323" s="14" t="str">
        <f t="shared" si="40"/>
        <v>110</v>
      </c>
      <c r="L323" s="15" t="s">
        <v>64</v>
      </c>
      <c r="M323" s="18" t="s">
        <v>251</v>
      </c>
      <c r="N323" s="15" t="s">
        <v>252</v>
      </c>
      <c r="O323" s="16" t="str">
        <f t="shared" si="42"/>
        <v>1101 Destilación, rectificación y mezcla de bebidas alcohólicas</v>
      </c>
      <c r="P323" s="10">
        <v>82924.179999999993</v>
      </c>
    </row>
    <row r="324" spans="1:16" s="12" customFormat="1" ht="36" x14ac:dyDescent="0.25">
      <c r="B324" s="13" t="s">
        <v>125</v>
      </c>
      <c r="C324" s="19">
        <v>2008</v>
      </c>
      <c r="D324" s="38">
        <v>20257364357</v>
      </c>
      <c r="E324" s="14" t="s">
        <v>42</v>
      </c>
      <c r="F324" s="15" t="s">
        <v>43</v>
      </c>
      <c r="G324" s="16" t="str">
        <f t="shared" si="36"/>
        <v>G Comercio al por mayor y al por menor; reparación de vehículos automotores y motocicletas</v>
      </c>
      <c r="H324" s="14" t="str">
        <f t="shared" si="39"/>
        <v>46</v>
      </c>
      <c r="I324" s="17" t="s">
        <v>44</v>
      </c>
      <c r="J324" s="17" t="str">
        <f t="shared" si="41"/>
        <v>46 Comercio al por mayor, excepto el de vehículos automotores y motocicletas</v>
      </c>
      <c r="K324" s="14" t="str">
        <f t="shared" si="40"/>
        <v>462</v>
      </c>
      <c r="L324" s="15" t="s">
        <v>126</v>
      </c>
      <c r="M324" s="18" t="s">
        <v>127</v>
      </c>
      <c r="N324" s="15" t="s">
        <v>126</v>
      </c>
      <c r="O324" s="16" t="str">
        <f t="shared" si="42"/>
        <v>4620 Ventas al por mayor de materias primas agropecuarias y animales vivos</v>
      </c>
      <c r="P324" s="10">
        <v>4049.36</v>
      </c>
    </row>
    <row r="325" spans="1:16" s="12" customFormat="1" ht="36" x14ac:dyDescent="0.25">
      <c r="B325" s="13" t="s">
        <v>125</v>
      </c>
      <c r="C325" s="19">
        <v>2009</v>
      </c>
      <c r="D325" s="38">
        <v>20257364357</v>
      </c>
      <c r="E325" s="14" t="s">
        <v>42</v>
      </c>
      <c r="F325" s="15" t="s">
        <v>43</v>
      </c>
      <c r="G325" s="16" t="str">
        <f t="shared" si="36"/>
        <v>G Comercio al por mayor y al por menor; reparación de vehículos automotores y motocicletas</v>
      </c>
      <c r="H325" s="14" t="str">
        <f t="shared" si="39"/>
        <v>46</v>
      </c>
      <c r="I325" s="17" t="s">
        <v>44</v>
      </c>
      <c r="J325" s="17" t="str">
        <f t="shared" si="41"/>
        <v>46 Comercio al por mayor, excepto el de vehículos automotores y motocicletas</v>
      </c>
      <c r="K325" s="14" t="str">
        <f t="shared" si="40"/>
        <v>462</v>
      </c>
      <c r="L325" s="15" t="s">
        <v>126</v>
      </c>
      <c r="M325" s="18" t="s">
        <v>127</v>
      </c>
      <c r="N325" s="15" t="s">
        <v>126</v>
      </c>
      <c r="O325" s="16" t="str">
        <f t="shared" si="42"/>
        <v>4620 Ventas al por mayor de materias primas agropecuarias y animales vivos</v>
      </c>
      <c r="P325" s="10">
        <v>22947.87</v>
      </c>
    </row>
    <row r="326" spans="1:16" s="12" customFormat="1" ht="36" x14ac:dyDescent="0.25">
      <c r="B326" s="13" t="s">
        <v>125</v>
      </c>
      <c r="C326" s="19">
        <v>2010</v>
      </c>
      <c r="D326" s="38">
        <v>20257364357</v>
      </c>
      <c r="E326" s="14" t="s">
        <v>42</v>
      </c>
      <c r="F326" s="15" t="s">
        <v>43</v>
      </c>
      <c r="G326" s="16" t="str">
        <f t="shared" si="36"/>
        <v>G Comercio al por mayor y al por menor; reparación de vehículos automotores y motocicletas</v>
      </c>
      <c r="H326" s="14" t="str">
        <f t="shared" si="39"/>
        <v>46</v>
      </c>
      <c r="I326" s="17" t="s">
        <v>44</v>
      </c>
      <c r="J326" s="17" t="str">
        <f t="shared" si="41"/>
        <v>46 Comercio al por mayor, excepto el de vehículos automotores y motocicletas</v>
      </c>
      <c r="K326" s="14" t="str">
        <f t="shared" si="40"/>
        <v>462</v>
      </c>
      <c r="L326" s="15" t="s">
        <v>126</v>
      </c>
      <c r="M326" s="18" t="s">
        <v>127</v>
      </c>
      <c r="N326" s="15" t="s">
        <v>126</v>
      </c>
      <c r="O326" s="16" t="str">
        <f t="shared" si="42"/>
        <v>4620 Ventas al por mayor de materias primas agropecuarias y animales vivos</v>
      </c>
      <c r="P326" s="10">
        <v>29354.32</v>
      </c>
    </row>
    <row r="327" spans="1:16" s="12" customFormat="1" ht="36" x14ac:dyDescent="0.25">
      <c r="B327" s="13" t="s">
        <v>125</v>
      </c>
      <c r="C327" s="19">
        <v>2011</v>
      </c>
      <c r="D327" s="38">
        <v>20257364357</v>
      </c>
      <c r="E327" s="14" t="s">
        <v>42</v>
      </c>
      <c r="F327" s="15" t="s">
        <v>43</v>
      </c>
      <c r="G327" s="16" t="str">
        <f t="shared" si="36"/>
        <v>G Comercio al por mayor y al por menor; reparación de vehículos automotores y motocicletas</v>
      </c>
      <c r="H327" s="14" t="str">
        <f t="shared" si="39"/>
        <v>46</v>
      </c>
      <c r="I327" s="17" t="s">
        <v>44</v>
      </c>
      <c r="J327" s="17" t="str">
        <f t="shared" si="41"/>
        <v>46 Comercio al por mayor, excepto el de vehículos automotores y motocicletas</v>
      </c>
      <c r="K327" s="14" t="str">
        <f t="shared" si="40"/>
        <v>462</v>
      </c>
      <c r="L327" s="15" t="s">
        <v>126</v>
      </c>
      <c r="M327" s="18" t="s">
        <v>127</v>
      </c>
      <c r="N327" s="15" t="s">
        <v>126</v>
      </c>
      <c r="O327" s="16" t="str">
        <f t="shared" si="42"/>
        <v>4620 Ventas al por mayor de materias primas agropecuarias y animales vivos</v>
      </c>
      <c r="P327" s="10">
        <v>8281.76</v>
      </c>
    </row>
    <row r="328" spans="1:16" s="12" customFormat="1" ht="36" x14ac:dyDescent="0.25">
      <c r="B328" s="13" t="s">
        <v>125</v>
      </c>
      <c r="C328" s="19">
        <v>2012</v>
      </c>
      <c r="D328" s="38">
        <v>20257364357</v>
      </c>
      <c r="E328" s="14" t="s">
        <v>42</v>
      </c>
      <c r="F328" s="15" t="s">
        <v>43</v>
      </c>
      <c r="G328" s="16" t="str">
        <f t="shared" si="36"/>
        <v>G Comercio al por mayor y al por menor; reparación de vehículos automotores y motocicletas</v>
      </c>
      <c r="H328" s="14" t="str">
        <f t="shared" si="39"/>
        <v>46</v>
      </c>
      <c r="I328" s="17" t="s">
        <v>44</v>
      </c>
      <c r="J328" s="17" t="str">
        <f t="shared" si="41"/>
        <v>46 Comercio al por mayor, excepto el de vehículos automotores y motocicletas</v>
      </c>
      <c r="K328" s="14" t="str">
        <f t="shared" si="40"/>
        <v>462</v>
      </c>
      <c r="L328" s="15" t="s">
        <v>126</v>
      </c>
      <c r="M328" s="18" t="s">
        <v>127</v>
      </c>
      <c r="N328" s="15" t="s">
        <v>126</v>
      </c>
      <c r="O328" s="16" t="str">
        <f t="shared" si="42"/>
        <v>4620 Ventas al por mayor de materias primas agropecuarias y animales vivos</v>
      </c>
      <c r="P328" s="10">
        <v>5364.19</v>
      </c>
    </row>
    <row r="329" spans="1:16" s="12" customFormat="1" ht="24" x14ac:dyDescent="0.25">
      <c r="B329" s="13" t="s">
        <v>125</v>
      </c>
      <c r="C329" s="19">
        <v>2021</v>
      </c>
      <c r="D329" s="38">
        <v>20257364357</v>
      </c>
      <c r="E329" s="14" t="s">
        <v>16</v>
      </c>
      <c r="F329" s="15" t="s">
        <v>17</v>
      </c>
      <c r="G329" s="16" t="str">
        <f t="shared" si="36"/>
        <v>B Explotación de minas y canteras</v>
      </c>
      <c r="H329" s="14" t="str">
        <f t="shared" si="39"/>
        <v>07</v>
      </c>
      <c r="I329" s="17" t="s">
        <v>18</v>
      </c>
      <c r="J329" s="17" t="str">
        <f t="shared" si="41"/>
        <v>07 Extracción de minerales metalíferos</v>
      </c>
      <c r="K329" s="14" t="str">
        <f t="shared" si="40"/>
        <v>072</v>
      </c>
      <c r="L329" s="15" t="s">
        <v>19</v>
      </c>
      <c r="M329" s="18" t="s">
        <v>20</v>
      </c>
      <c r="N329" s="15" t="s">
        <v>21</v>
      </c>
      <c r="O329" s="16" t="str">
        <f t="shared" si="42"/>
        <v>0729 Extracción de otros minerales metalíferos no ferrosos</v>
      </c>
      <c r="P329" s="10">
        <v>5529.55</v>
      </c>
    </row>
    <row r="330" spans="1:16" s="12" customFormat="1" ht="36" x14ac:dyDescent="0.25">
      <c r="B330" s="13" t="s">
        <v>125</v>
      </c>
      <c r="C330" s="19">
        <v>2022</v>
      </c>
      <c r="D330" s="38">
        <v>20257364357</v>
      </c>
      <c r="E330" s="14" t="s">
        <v>42</v>
      </c>
      <c r="F330" s="15" t="s">
        <v>43</v>
      </c>
      <c r="G330" s="16" t="str">
        <f t="shared" si="36"/>
        <v>G Comercio al por mayor y al por menor; reparación de vehículos automotores y motocicletas</v>
      </c>
      <c r="H330" s="14" t="str">
        <f t="shared" si="39"/>
        <v>46</v>
      </c>
      <c r="I330" s="17" t="s">
        <v>44</v>
      </c>
      <c r="J330" s="17" t="str">
        <f t="shared" si="41"/>
        <v>46 Comercio al por mayor, excepto el de vehículos automotores y motocicletas</v>
      </c>
      <c r="K330" s="14" t="str">
        <f t="shared" si="40"/>
        <v>462</v>
      </c>
      <c r="L330" s="15" t="s">
        <v>126</v>
      </c>
      <c r="M330" s="18" t="s">
        <v>127</v>
      </c>
      <c r="N330" s="15" t="s">
        <v>126</v>
      </c>
      <c r="O330" s="16" t="str">
        <f t="shared" si="42"/>
        <v>4620 Ventas al por mayor de materias primas agropecuarias y animales vivos</v>
      </c>
      <c r="P330" s="10">
        <v>4235113.0199999996</v>
      </c>
    </row>
    <row r="331" spans="1:16" s="12" customFormat="1" ht="36" x14ac:dyDescent="0.25">
      <c r="B331" s="13" t="s">
        <v>125</v>
      </c>
      <c r="C331" s="19">
        <v>2023</v>
      </c>
      <c r="D331" s="38">
        <v>20257364357</v>
      </c>
      <c r="E331" s="14" t="s">
        <v>42</v>
      </c>
      <c r="F331" s="15" t="s">
        <v>43</v>
      </c>
      <c r="G331" s="16" t="str">
        <f t="shared" si="36"/>
        <v>G Comercio al por mayor y al por menor; reparación de vehículos automotores y motocicletas</v>
      </c>
      <c r="H331" s="14">
        <v>46</v>
      </c>
      <c r="I331" s="17" t="s">
        <v>44</v>
      </c>
      <c r="J331" s="17" t="str">
        <f t="shared" si="41"/>
        <v>46 Comercio al por mayor, excepto el de vehículos automotores y motocicletas</v>
      </c>
      <c r="K331" s="14">
        <v>462</v>
      </c>
      <c r="L331" s="15" t="s">
        <v>126</v>
      </c>
      <c r="M331" s="18" t="s">
        <v>127</v>
      </c>
      <c r="N331" s="15" t="s">
        <v>126</v>
      </c>
      <c r="O331" s="16" t="str">
        <f t="shared" si="42"/>
        <v>4620 Ventas al por mayor de materias primas agropecuarias y animales vivos</v>
      </c>
      <c r="P331" s="10">
        <v>5406332.6699999999</v>
      </c>
    </row>
    <row r="332" spans="1:16" s="12" customFormat="1" x14ac:dyDescent="0.25">
      <c r="B332" s="13" t="s">
        <v>402</v>
      </c>
      <c r="C332" s="19">
        <v>2013</v>
      </c>
      <c r="D332" s="38">
        <v>20258262728</v>
      </c>
      <c r="E332" s="14" t="s">
        <v>16</v>
      </c>
      <c r="F332" s="15" t="s">
        <v>17</v>
      </c>
      <c r="G332" s="16" t="str">
        <f t="shared" si="36"/>
        <v>B Explotación de minas y canteras</v>
      </c>
      <c r="H332" s="14" t="str">
        <f t="shared" ref="H332:H338" si="43">LEFT(K332,2)</f>
        <v>06</v>
      </c>
      <c r="I332" s="17" t="s">
        <v>68</v>
      </c>
      <c r="J332" s="17" t="str">
        <f t="shared" si="41"/>
        <v>06 Extracción de petróleo crudo y gas natural</v>
      </c>
      <c r="K332" s="14" t="str">
        <f t="shared" ref="K332:K338" si="44">LEFT(M332,3)</f>
        <v>062</v>
      </c>
      <c r="L332" s="15" t="s">
        <v>178</v>
      </c>
      <c r="M332" s="18" t="s">
        <v>179</v>
      </c>
      <c r="N332" s="15" t="s">
        <v>178</v>
      </c>
      <c r="O332" s="16" t="str">
        <f t="shared" si="42"/>
        <v>0620 Extracción de gas natural</v>
      </c>
      <c r="P332" s="10">
        <v>21375.42</v>
      </c>
    </row>
    <row r="333" spans="1:16" s="12" customFormat="1" x14ac:dyDescent="0.25">
      <c r="B333" s="13" t="s">
        <v>402</v>
      </c>
      <c r="C333" s="19">
        <v>2014</v>
      </c>
      <c r="D333" s="38">
        <v>20258262728</v>
      </c>
      <c r="E333" s="14" t="s">
        <v>16</v>
      </c>
      <c r="F333" s="15" t="s">
        <v>17</v>
      </c>
      <c r="G333" s="16" t="str">
        <f t="shared" si="36"/>
        <v>B Explotación de minas y canteras</v>
      </c>
      <c r="H333" s="14" t="str">
        <f t="shared" si="43"/>
        <v>06</v>
      </c>
      <c r="I333" s="17" t="s">
        <v>68</v>
      </c>
      <c r="J333" s="17" t="str">
        <f t="shared" si="41"/>
        <v>06 Extracción de petróleo crudo y gas natural</v>
      </c>
      <c r="K333" s="14" t="str">
        <f t="shared" si="44"/>
        <v>062</v>
      </c>
      <c r="L333" s="15" t="s">
        <v>178</v>
      </c>
      <c r="M333" s="18" t="s">
        <v>179</v>
      </c>
      <c r="N333" s="15" t="s">
        <v>178</v>
      </c>
      <c r="O333" s="16" t="str">
        <f t="shared" si="42"/>
        <v>0620 Extracción de gas natural</v>
      </c>
      <c r="P333" s="10">
        <v>27345.61</v>
      </c>
    </row>
    <row r="334" spans="1:16" s="12" customFormat="1" x14ac:dyDescent="0.25">
      <c r="B334" s="13" t="s">
        <v>402</v>
      </c>
      <c r="C334" s="19">
        <v>2014</v>
      </c>
      <c r="D334" s="38">
        <v>20258262728</v>
      </c>
      <c r="E334" s="14" t="s">
        <v>16</v>
      </c>
      <c r="F334" s="15" t="s">
        <v>17</v>
      </c>
      <c r="G334" s="16" t="str">
        <f t="shared" si="36"/>
        <v>B Explotación de minas y canteras</v>
      </c>
      <c r="H334" s="14" t="str">
        <f t="shared" si="43"/>
        <v>06</v>
      </c>
      <c r="I334" s="17" t="s">
        <v>68</v>
      </c>
      <c r="J334" s="17" t="str">
        <f t="shared" si="41"/>
        <v>06 Extracción de petróleo crudo y gas natural</v>
      </c>
      <c r="K334" s="14" t="str">
        <f t="shared" si="44"/>
        <v>062</v>
      </c>
      <c r="L334" s="15" t="s">
        <v>178</v>
      </c>
      <c r="M334" s="18" t="s">
        <v>179</v>
      </c>
      <c r="N334" s="15" t="s">
        <v>178</v>
      </c>
      <c r="O334" s="16" t="str">
        <f t="shared" si="42"/>
        <v>0620 Extracción de gas natural</v>
      </c>
      <c r="P334" s="10">
        <v>1175.23</v>
      </c>
    </row>
    <row r="335" spans="1:16" s="12" customFormat="1" x14ac:dyDescent="0.25">
      <c r="B335" s="13" t="s">
        <v>402</v>
      </c>
      <c r="C335" s="19">
        <v>2022</v>
      </c>
      <c r="D335" s="38">
        <v>20258262728</v>
      </c>
      <c r="E335" s="14" t="s">
        <v>16</v>
      </c>
      <c r="F335" s="15" t="s">
        <v>17</v>
      </c>
      <c r="G335" s="16" t="str">
        <f t="shared" si="36"/>
        <v>B Explotación de minas y canteras</v>
      </c>
      <c r="H335" s="14" t="str">
        <f t="shared" si="43"/>
        <v>06</v>
      </c>
      <c r="I335" s="17" t="s">
        <v>68</v>
      </c>
      <c r="J335" s="17" t="str">
        <f t="shared" si="41"/>
        <v>06 Extracción de petróleo crudo y gas natural</v>
      </c>
      <c r="K335" s="14" t="str">
        <f t="shared" si="44"/>
        <v>062</v>
      </c>
      <c r="L335" s="15" t="s">
        <v>178</v>
      </c>
      <c r="M335" s="18" t="s">
        <v>179</v>
      </c>
      <c r="N335" s="15" t="s">
        <v>178</v>
      </c>
      <c r="O335" s="16" t="str">
        <f t="shared" si="42"/>
        <v>0620 Extracción de gas natural</v>
      </c>
      <c r="P335" s="10">
        <v>19360000</v>
      </c>
    </row>
    <row r="336" spans="1:16" s="12" customFormat="1" x14ac:dyDescent="0.25">
      <c r="B336" s="13" t="s">
        <v>402</v>
      </c>
      <c r="C336" s="19">
        <v>2023</v>
      </c>
      <c r="D336" s="38">
        <v>20258262728</v>
      </c>
      <c r="E336" s="14" t="s">
        <v>16</v>
      </c>
      <c r="F336" s="15" t="s">
        <v>17</v>
      </c>
      <c r="G336" s="16" t="str">
        <f t="shared" ref="G336:G399" si="45">E336&amp;" "&amp;F336</f>
        <v>B Explotación de minas y canteras</v>
      </c>
      <c r="H336" s="14" t="str">
        <f t="shared" si="43"/>
        <v>06</v>
      </c>
      <c r="I336" s="17" t="s">
        <v>68</v>
      </c>
      <c r="J336" s="17" t="str">
        <f t="shared" si="41"/>
        <v>06 Extracción de petróleo crudo y gas natural</v>
      </c>
      <c r="K336" s="14" t="str">
        <f t="shared" si="44"/>
        <v>062</v>
      </c>
      <c r="L336" s="15" t="s">
        <v>178</v>
      </c>
      <c r="M336" s="18" t="s">
        <v>179</v>
      </c>
      <c r="N336" s="15" t="s">
        <v>178</v>
      </c>
      <c r="O336" s="16" t="str">
        <f t="shared" si="42"/>
        <v>0620 Extracción de gas natural</v>
      </c>
      <c r="P336" s="10">
        <v>20240000</v>
      </c>
    </row>
    <row r="337" spans="1:16" s="52" customFormat="1" x14ac:dyDescent="0.25">
      <c r="A337" s="12"/>
      <c r="B337" s="13" t="s">
        <v>402</v>
      </c>
      <c r="C337" s="19">
        <v>2024</v>
      </c>
      <c r="D337" s="38">
        <v>20258262728</v>
      </c>
      <c r="E337" s="14" t="s">
        <v>16</v>
      </c>
      <c r="F337" s="15" t="s">
        <v>17</v>
      </c>
      <c r="G337" s="16" t="str">
        <f t="shared" si="45"/>
        <v>B Explotación de minas y canteras</v>
      </c>
      <c r="H337" s="14" t="str">
        <f t="shared" si="43"/>
        <v>06</v>
      </c>
      <c r="I337" s="17" t="s">
        <v>68</v>
      </c>
      <c r="J337" s="17" t="str">
        <f t="shared" si="41"/>
        <v>06 Extracción de petróleo crudo y gas natural</v>
      </c>
      <c r="K337" s="14" t="str">
        <f t="shared" si="44"/>
        <v>062</v>
      </c>
      <c r="L337" s="15" t="s">
        <v>178</v>
      </c>
      <c r="M337" s="18" t="s">
        <v>179</v>
      </c>
      <c r="N337" s="15" t="s">
        <v>178</v>
      </c>
      <c r="O337" s="16" t="str">
        <f t="shared" si="42"/>
        <v>0620 Extracción de gas natural</v>
      </c>
      <c r="P337" s="10">
        <v>13661234.83</v>
      </c>
    </row>
    <row r="338" spans="1:16" s="12" customFormat="1" x14ac:dyDescent="0.25">
      <c r="A338" s="12">
        <v>35</v>
      </c>
      <c r="B338" s="13" t="s">
        <v>402</v>
      </c>
      <c r="C338" s="19">
        <v>2025</v>
      </c>
      <c r="D338" s="38">
        <v>20258262728</v>
      </c>
      <c r="E338" s="14" t="s">
        <v>16</v>
      </c>
      <c r="F338" s="15" t="s">
        <v>17</v>
      </c>
      <c r="G338" s="16" t="str">
        <f t="shared" si="45"/>
        <v>B Explotación de minas y canteras</v>
      </c>
      <c r="H338" s="14" t="str">
        <f t="shared" si="43"/>
        <v>06</v>
      </c>
      <c r="I338" s="17" t="s">
        <v>68</v>
      </c>
      <c r="J338" s="17" t="str">
        <f t="shared" si="41"/>
        <v>06 Extracción de petróleo crudo y gas natural</v>
      </c>
      <c r="K338" s="14" t="str">
        <f t="shared" si="44"/>
        <v>062</v>
      </c>
      <c r="L338" s="15" t="s">
        <v>178</v>
      </c>
      <c r="M338" s="18" t="s">
        <v>179</v>
      </c>
      <c r="N338" s="15" t="s">
        <v>178</v>
      </c>
      <c r="O338" s="16" t="str">
        <f t="shared" si="42"/>
        <v>0620 Extracción de gas natural</v>
      </c>
      <c r="P338" s="10">
        <v>19356699.73</v>
      </c>
    </row>
    <row r="339" spans="1:16" s="12" customFormat="1" x14ac:dyDescent="0.25">
      <c r="B339" s="13" t="s">
        <v>39</v>
      </c>
      <c r="C339" s="19">
        <v>1999</v>
      </c>
      <c r="D339" s="38">
        <v>20258908849</v>
      </c>
      <c r="E339" s="14" t="s">
        <v>23</v>
      </c>
      <c r="F339" s="15" t="s">
        <v>24</v>
      </c>
      <c r="G339" s="16" t="str">
        <f t="shared" si="45"/>
        <v>C Industria manufacturera</v>
      </c>
      <c r="H339" s="14">
        <v>19</v>
      </c>
      <c r="I339" s="17" t="s">
        <v>33</v>
      </c>
      <c r="J339" s="17" t="str">
        <f t="shared" si="41"/>
        <v>19 Actividades de Consultoria en Gestion</v>
      </c>
      <c r="K339" s="14" t="s">
        <v>30</v>
      </c>
      <c r="L339" s="15" t="s">
        <v>33</v>
      </c>
      <c r="M339" s="18" t="s">
        <v>34</v>
      </c>
      <c r="N339" s="15" t="s">
        <v>33</v>
      </c>
      <c r="O339" s="16" t="str">
        <f t="shared" si="42"/>
        <v>7020 Actividades de Consultoria en Gestion</v>
      </c>
      <c r="P339" s="10">
        <v>779.15</v>
      </c>
    </row>
    <row r="340" spans="1:16" s="12" customFormat="1" ht="24" x14ac:dyDescent="0.25">
      <c r="B340" s="13" t="s">
        <v>22</v>
      </c>
      <c r="C340" s="19">
        <v>1998</v>
      </c>
      <c r="D340" s="38">
        <v>20259829594</v>
      </c>
      <c r="E340" s="14" t="s">
        <v>23</v>
      </c>
      <c r="F340" s="15" t="s">
        <v>24</v>
      </c>
      <c r="G340" s="16" t="str">
        <f t="shared" si="45"/>
        <v>C Industria manufacturera</v>
      </c>
      <c r="H340" s="14" t="str">
        <f>LEFT(K340,2)</f>
        <v>19</v>
      </c>
      <c r="I340" s="17" t="s">
        <v>25</v>
      </c>
      <c r="J340" s="17" t="str">
        <f t="shared" si="41"/>
        <v>19 Fabricación de coque y productos de la refinación del petróleo</v>
      </c>
      <c r="K340" s="14" t="str">
        <f>LEFT(M340,3)</f>
        <v>192</v>
      </c>
      <c r="L340" s="15" t="s">
        <v>26</v>
      </c>
      <c r="M340" s="18" t="s">
        <v>27</v>
      </c>
      <c r="N340" s="15" t="s">
        <v>26</v>
      </c>
      <c r="O340" s="16" t="str">
        <f t="shared" si="42"/>
        <v>1920 Fabricación de productos de la refinación del petróleo</v>
      </c>
      <c r="P340" s="10">
        <v>81829.31</v>
      </c>
    </row>
    <row r="341" spans="1:16" s="12" customFormat="1" ht="24" x14ac:dyDescent="0.25">
      <c r="B341" s="13" t="s">
        <v>22</v>
      </c>
      <c r="C341" s="19">
        <v>2000</v>
      </c>
      <c r="D341" s="38">
        <v>20259829594</v>
      </c>
      <c r="E341" s="14" t="s">
        <v>23</v>
      </c>
      <c r="F341" s="15" t="s">
        <v>24</v>
      </c>
      <c r="G341" s="16" t="str">
        <f t="shared" si="45"/>
        <v>C Industria manufacturera</v>
      </c>
      <c r="H341" s="14" t="str">
        <f>LEFT(K341,2)</f>
        <v>19</v>
      </c>
      <c r="I341" s="17" t="s">
        <v>25</v>
      </c>
      <c r="J341" s="17" t="str">
        <f t="shared" si="41"/>
        <v>19 Fabricación de coque y productos de la refinación del petróleo</v>
      </c>
      <c r="K341" s="14" t="str">
        <f>LEFT(M341,3)</f>
        <v>192</v>
      </c>
      <c r="L341" s="15" t="s">
        <v>26</v>
      </c>
      <c r="M341" s="18" t="s">
        <v>27</v>
      </c>
      <c r="N341" s="15" t="s">
        <v>26</v>
      </c>
      <c r="O341" s="16" t="str">
        <f t="shared" si="42"/>
        <v>1920 Fabricación de productos de la refinación del petróleo</v>
      </c>
      <c r="P341" s="10">
        <v>3604.17</v>
      </c>
    </row>
    <row r="342" spans="1:16" s="12" customFormat="1" ht="24" x14ac:dyDescent="0.25">
      <c r="B342" s="13" t="s">
        <v>22</v>
      </c>
      <c r="C342" s="19">
        <v>2006</v>
      </c>
      <c r="D342" s="38">
        <v>20259829594</v>
      </c>
      <c r="E342" s="14" t="s">
        <v>23</v>
      </c>
      <c r="F342" s="15" t="s">
        <v>24</v>
      </c>
      <c r="G342" s="16" t="str">
        <f t="shared" si="45"/>
        <v>C Industria manufacturera</v>
      </c>
      <c r="H342" s="14" t="str">
        <f>LEFT(K342,2)</f>
        <v>19</v>
      </c>
      <c r="I342" s="17" t="s">
        <v>25</v>
      </c>
      <c r="J342" s="17" t="str">
        <f t="shared" si="41"/>
        <v>19 Fabricación de coque y productos de la refinación del petróleo</v>
      </c>
      <c r="K342" s="14" t="str">
        <f>LEFT(M342,3)</f>
        <v>192</v>
      </c>
      <c r="L342" s="15" t="s">
        <v>26</v>
      </c>
      <c r="M342" s="18" t="s">
        <v>27</v>
      </c>
      <c r="N342" s="15" t="s">
        <v>26</v>
      </c>
      <c r="O342" s="16" t="str">
        <f t="shared" si="42"/>
        <v>1920 Fabricación de productos de la refinación del petróleo</v>
      </c>
      <c r="P342" s="10">
        <v>3395550.05</v>
      </c>
    </row>
    <row r="343" spans="1:16" s="12" customFormat="1" ht="24" x14ac:dyDescent="0.25">
      <c r="B343" s="13" t="s">
        <v>22</v>
      </c>
      <c r="C343" s="19">
        <v>2008</v>
      </c>
      <c r="D343" s="38">
        <v>20259829594</v>
      </c>
      <c r="E343" s="14" t="s">
        <v>23</v>
      </c>
      <c r="F343" s="15" t="s">
        <v>24</v>
      </c>
      <c r="G343" s="16" t="str">
        <f t="shared" si="45"/>
        <v>C Industria manufacturera</v>
      </c>
      <c r="H343" s="14" t="str">
        <f>LEFT(K343,2)</f>
        <v>19</v>
      </c>
      <c r="I343" s="17" t="s">
        <v>25</v>
      </c>
      <c r="J343" s="17" t="str">
        <f t="shared" si="41"/>
        <v>19 Fabricación de coque y productos de la refinación del petróleo</v>
      </c>
      <c r="K343" s="14" t="str">
        <f>LEFT(M343,3)</f>
        <v>192</v>
      </c>
      <c r="L343" s="15" t="s">
        <v>26</v>
      </c>
      <c r="M343" s="18" t="s">
        <v>27</v>
      </c>
      <c r="N343" s="15" t="s">
        <v>26</v>
      </c>
      <c r="O343" s="16" t="str">
        <f t="shared" si="42"/>
        <v>1920 Fabricación de productos de la refinación del petróleo</v>
      </c>
      <c r="P343" s="10">
        <v>819732</v>
      </c>
    </row>
    <row r="344" spans="1:16" s="12" customFormat="1" ht="24" x14ac:dyDescent="0.25">
      <c r="B344" s="13" t="s">
        <v>22</v>
      </c>
      <c r="C344" s="19">
        <v>2012</v>
      </c>
      <c r="D344" s="38">
        <v>20259829594</v>
      </c>
      <c r="E344" s="14" t="s">
        <v>23</v>
      </c>
      <c r="F344" s="15" t="s">
        <v>24</v>
      </c>
      <c r="G344" s="16" t="str">
        <f t="shared" si="45"/>
        <v>C Industria manufacturera</v>
      </c>
      <c r="H344" s="14" t="str">
        <f>LEFT(K344,2)</f>
        <v>19</v>
      </c>
      <c r="I344" s="17" t="s">
        <v>25</v>
      </c>
      <c r="J344" s="17" t="str">
        <f t="shared" si="41"/>
        <v>19 Fabricación de coque y productos de la refinación del petróleo</v>
      </c>
      <c r="K344" s="14" t="str">
        <f>LEFT(M344,3)</f>
        <v>192</v>
      </c>
      <c r="L344" s="15" t="s">
        <v>26</v>
      </c>
      <c r="M344" s="18" t="s">
        <v>27</v>
      </c>
      <c r="N344" s="15" t="s">
        <v>26</v>
      </c>
      <c r="O344" s="16" t="str">
        <f t="shared" si="42"/>
        <v>1920 Fabricación de productos de la refinación del petróleo</v>
      </c>
      <c r="P344" s="10">
        <v>232968.17</v>
      </c>
    </row>
    <row r="345" spans="1:16" s="12" customFormat="1" ht="24" x14ac:dyDescent="0.25">
      <c r="B345" s="13" t="s">
        <v>22</v>
      </c>
      <c r="C345" s="19">
        <v>2023</v>
      </c>
      <c r="D345" s="38">
        <v>20259829594</v>
      </c>
      <c r="E345" s="14" t="s">
        <v>23</v>
      </c>
      <c r="F345" s="15" t="s">
        <v>24</v>
      </c>
      <c r="G345" s="16" t="str">
        <f t="shared" si="45"/>
        <v>C Industria manufacturera</v>
      </c>
      <c r="H345" s="14" t="s">
        <v>328</v>
      </c>
      <c r="I345" s="17" t="s">
        <v>329</v>
      </c>
      <c r="J345" s="17" t="str">
        <f t="shared" si="41"/>
        <v>19 Fabricación de coque y productos de refinación de petroleo</v>
      </c>
      <c r="K345" s="14">
        <v>192</v>
      </c>
      <c r="L345" s="15" t="s">
        <v>330</v>
      </c>
      <c r="M345" s="18" t="s">
        <v>27</v>
      </c>
      <c r="N345" s="15" t="s">
        <v>330</v>
      </c>
      <c r="O345" s="16" t="str">
        <f t="shared" si="42"/>
        <v>1920 Fabricación de productos de la refinación de petroleo</v>
      </c>
      <c r="P345" s="10">
        <v>913415.69</v>
      </c>
    </row>
    <row r="346" spans="1:16" s="12" customFormat="1" ht="24" x14ac:dyDescent="0.25">
      <c r="A346" s="41"/>
      <c r="B346" s="49" t="s">
        <v>22</v>
      </c>
      <c r="C346" s="50">
        <v>2002</v>
      </c>
      <c r="D346" s="38">
        <v>20259829594</v>
      </c>
      <c r="E346" s="55" t="s">
        <v>48</v>
      </c>
      <c r="F346" s="42" t="s">
        <v>49</v>
      </c>
      <c r="G346" s="43" t="str">
        <f t="shared" si="45"/>
        <v>D Suministro de electricidad, gas, vapor y aire acondicionado</v>
      </c>
      <c r="H346" s="44" t="str">
        <f t="shared" ref="H346:H377" si="46">LEFT(K346,2)</f>
        <v>35</v>
      </c>
      <c r="I346" s="45" t="s">
        <v>49</v>
      </c>
      <c r="J346" s="45" t="str">
        <f t="shared" si="41"/>
        <v>35 Suministro de electricidad, gas, vapor y aire acondicionado</v>
      </c>
      <c r="K346" s="44" t="str">
        <f t="shared" ref="K346:K377" si="47">LEFT(M346,3)</f>
        <v>351</v>
      </c>
      <c r="L346" s="42" t="s">
        <v>50</v>
      </c>
      <c r="M346" s="46" t="s">
        <v>51</v>
      </c>
      <c r="N346" s="42" t="s">
        <v>50</v>
      </c>
      <c r="O346" s="43" t="str">
        <f t="shared" si="42"/>
        <v>3510 Generación, transmisión y distribución de energía eléctrica</v>
      </c>
      <c r="P346" s="51">
        <v>67876.179999999993</v>
      </c>
    </row>
    <row r="347" spans="1:16" s="12" customFormat="1" ht="24" x14ac:dyDescent="0.25">
      <c r="B347" s="22" t="s">
        <v>368</v>
      </c>
      <c r="C347" s="19">
        <v>2016</v>
      </c>
      <c r="D347" s="38">
        <v>20259880603</v>
      </c>
      <c r="E347" s="14" t="s">
        <v>23</v>
      </c>
      <c r="F347" s="15" t="s">
        <v>24</v>
      </c>
      <c r="G347" s="16" t="str">
        <f t="shared" si="45"/>
        <v>C Industria manufacturera</v>
      </c>
      <c r="H347" s="14" t="str">
        <f t="shared" si="46"/>
        <v>19</v>
      </c>
      <c r="I347" s="17" t="s">
        <v>25</v>
      </c>
      <c r="J347" s="17" t="str">
        <f t="shared" si="41"/>
        <v>19 Fabricación de coque y productos de la refinación del petróleo</v>
      </c>
      <c r="K347" s="14" t="str">
        <f t="shared" si="47"/>
        <v>192</v>
      </c>
      <c r="L347" s="15" t="s">
        <v>26</v>
      </c>
      <c r="M347" s="18" t="s">
        <v>27</v>
      </c>
      <c r="N347" s="15" t="s">
        <v>26</v>
      </c>
      <c r="O347" s="16" t="str">
        <f t="shared" si="42"/>
        <v>1920 Fabricación de productos de la refinación del petróleo</v>
      </c>
      <c r="P347" s="10">
        <v>89732.99</v>
      </c>
    </row>
    <row r="348" spans="1:16" s="12" customFormat="1" ht="24" x14ac:dyDescent="0.25">
      <c r="B348" s="22" t="s">
        <v>368</v>
      </c>
      <c r="C348" s="19">
        <v>2017</v>
      </c>
      <c r="D348" s="38">
        <v>20259880603</v>
      </c>
      <c r="E348" s="14" t="s">
        <v>23</v>
      </c>
      <c r="F348" s="15" t="s">
        <v>24</v>
      </c>
      <c r="G348" s="16" t="str">
        <f t="shared" si="45"/>
        <v>C Industria manufacturera</v>
      </c>
      <c r="H348" s="14" t="str">
        <f t="shared" si="46"/>
        <v>19</v>
      </c>
      <c r="I348" s="17" t="s">
        <v>25</v>
      </c>
      <c r="J348" s="17" t="str">
        <f t="shared" si="41"/>
        <v>19 Fabricación de coque y productos de la refinación del petróleo</v>
      </c>
      <c r="K348" s="14" t="str">
        <f t="shared" si="47"/>
        <v>192</v>
      </c>
      <c r="L348" s="15" t="s">
        <v>26</v>
      </c>
      <c r="M348" s="18" t="s">
        <v>27</v>
      </c>
      <c r="N348" s="15" t="s">
        <v>26</v>
      </c>
      <c r="O348" s="16" t="str">
        <f t="shared" si="42"/>
        <v>1920 Fabricación de productos de la refinación del petróleo</v>
      </c>
      <c r="P348" s="10">
        <v>23.66</v>
      </c>
    </row>
    <row r="349" spans="1:16" s="12" customFormat="1" ht="24" x14ac:dyDescent="0.25">
      <c r="B349" s="22" t="s">
        <v>368</v>
      </c>
      <c r="C349" s="19">
        <v>2025</v>
      </c>
      <c r="D349" s="38">
        <v>20259880603</v>
      </c>
      <c r="E349" s="14" t="s">
        <v>23</v>
      </c>
      <c r="F349" s="15" t="s">
        <v>24</v>
      </c>
      <c r="G349" s="16" t="str">
        <f t="shared" si="45"/>
        <v>C Industria manufacturera</v>
      </c>
      <c r="H349" s="14" t="str">
        <f t="shared" si="46"/>
        <v>19</v>
      </c>
      <c r="I349" s="17" t="s">
        <v>25</v>
      </c>
      <c r="J349" s="17" t="str">
        <f t="shared" si="41"/>
        <v>19 Fabricación de coque y productos de la refinación del petróleo</v>
      </c>
      <c r="K349" s="14" t="str">
        <f t="shared" si="47"/>
        <v>192</v>
      </c>
      <c r="L349" s="15" t="s">
        <v>26</v>
      </c>
      <c r="M349" s="18" t="s">
        <v>27</v>
      </c>
      <c r="N349" s="15" t="s">
        <v>26</v>
      </c>
      <c r="O349" s="16" t="str">
        <f t="shared" si="42"/>
        <v>1920 Fabricación de productos de la refinación del petróleo</v>
      </c>
      <c r="P349" s="10">
        <v>124.24</v>
      </c>
    </row>
    <row r="350" spans="1:16" s="12" customFormat="1" ht="36" x14ac:dyDescent="0.25">
      <c r="B350" s="13" t="s">
        <v>183</v>
      </c>
      <c r="C350" s="19">
        <v>2014</v>
      </c>
      <c r="D350" s="38">
        <v>20261126568</v>
      </c>
      <c r="E350" s="14" t="s">
        <v>42</v>
      </c>
      <c r="F350" s="15" t="s">
        <v>43</v>
      </c>
      <c r="G350" s="16" t="str">
        <f t="shared" si="45"/>
        <v>G Comercio al por mayor y al por menor; reparación de vehículos automotores y motocicletas</v>
      </c>
      <c r="H350" s="14" t="str">
        <f t="shared" si="46"/>
        <v>45</v>
      </c>
      <c r="I350" s="17" t="s">
        <v>135</v>
      </c>
      <c r="J350" s="17" t="str">
        <f t="shared" si="41"/>
        <v>45 Comercio al por mayor y al por menor y reparación de vehículos automotores y motocicletas</v>
      </c>
      <c r="K350" s="14" t="str">
        <f t="shared" si="47"/>
        <v>451</v>
      </c>
      <c r="L350" s="15" t="s">
        <v>136</v>
      </c>
      <c r="M350" s="18" t="s">
        <v>137</v>
      </c>
      <c r="N350" s="15" t="s">
        <v>136</v>
      </c>
      <c r="O350" s="16" t="str">
        <f t="shared" si="42"/>
        <v>4510 Venta de vehículos automotores</v>
      </c>
      <c r="P350" s="10">
        <v>294148.8</v>
      </c>
    </row>
    <row r="351" spans="1:16" s="12" customFormat="1" ht="24" x14ac:dyDescent="0.25">
      <c r="B351" s="13" t="s">
        <v>180</v>
      </c>
      <c r="C351" s="19">
        <v>2013</v>
      </c>
      <c r="D351" s="38">
        <v>20269985900</v>
      </c>
      <c r="E351" s="14" t="s">
        <v>48</v>
      </c>
      <c r="F351" s="15" t="s">
        <v>49</v>
      </c>
      <c r="G351" s="16" t="str">
        <f t="shared" si="45"/>
        <v>D Suministro de electricidad, gas, vapor y aire acondicionado</v>
      </c>
      <c r="H351" s="14" t="str">
        <f t="shared" si="46"/>
        <v>35</v>
      </c>
      <c r="I351" s="17" t="s">
        <v>49</v>
      </c>
      <c r="J351" s="17" t="str">
        <f t="shared" si="41"/>
        <v>35 Suministro de electricidad, gas, vapor y aire acondicionado</v>
      </c>
      <c r="K351" s="14" t="str">
        <f t="shared" si="47"/>
        <v>351</v>
      </c>
      <c r="L351" s="15" t="s">
        <v>50</v>
      </c>
      <c r="M351" s="18" t="s">
        <v>51</v>
      </c>
      <c r="N351" s="15" t="s">
        <v>50</v>
      </c>
      <c r="O351" s="16" t="str">
        <f t="shared" si="42"/>
        <v>3510 Generación, transmisión y distribución de energía eléctrica</v>
      </c>
      <c r="P351" s="10">
        <v>1663.34</v>
      </c>
    </row>
    <row r="352" spans="1:16" s="12" customFormat="1" ht="24" x14ac:dyDescent="0.25">
      <c r="B352" s="13" t="s">
        <v>324</v>
      </c>
      <c r="C352" s="19">
        <v>2008</v>
      </c>
      <c r="D352" s="38">
        <v>20270508163</v>
      </c>
      <c r="E352" s="14" t="s">
        <v>48</v>
      </c>
      <c r="F352" s="15" t="s">
        <v>49</v>
      </c>
      <c r="G352" s="16" t="str">
        <f t="shared" si="45"/>
        <v>D Suministro de electricidad, gas, vapor y aire acondicionado</v>
      </c>
      <c r="H352" s="14" t="str">
        <f t="shared" si="46"/>
        <v>35</v>
      </c>
      <c r="I352" s="17" t="s">
        <v>49</v>
      </c>
      <c r="J352" s="17" t="str">
        <f t="shared" si="41"/>
        <v>35 Suministro de electricidad, gas, vapor y aire acondicionado</v>
      </c>
      <c r="K352" s="14" t="str">
        <f t="shared" si="47"/>
        <v>351</v>
      </c>
      <c r="L352" s="15" t="s">
        <v>50</v>
      </c>
      <c r="M352" s="18" t="s">
        <v>51</v>
      </c>
      <c r="N352" s="15" t="s">
        <v>50</v>
      </c>
      <c r="O352" s="16" t="str">
        <f t="shared" si="42"/>
        <v>3510 Generación, transmisión y distribución de energía eléctrica</v>
      </c>
      <c r="P352" s="10">
        <v>301498.98</v>
      </c>
    </row>
    <row r="353" spans="1:16" s="12" customFormat="1" ht="24" x14ac:dyDescent="0.25">
      <c r="B353" s="13" t="s">
        <v>324</v>
      </c>
      <c r="C353" s="19">
        <v>2012</v>
      </c>
      <c r="D353" s="38">
        <v>20270508163</v>
      </c>
      <c r="E353" s="14" t="s">
        <v>48</v>
      </c>
      <c r="F353" s="15" t="s">
        <v>49</v>
      </c>
      <c r="G353" s="16" t="str">
        <f t="shared" si="45"/>
        <v>D Suministro de electricidad, gas, vapor y aire acondicionado</v>
      </c>
      <c r="H353" s="14" t="str">
        <f t="shared" si="46"/>
        <v>35</v>
      </c>
      <c r="I353" s="17" t="s">
        <v>49</v>
      </c>
      <c r="J353" s="17" t="str">
        <f t="shared" si="41"/>
        <v>35 Suministro de electricidad, gas, vapor y aire acondicionado</v>
      </c>
      <c r="K353" s="14" t="str">
        <f t="shared" si="47"/>
        <v>351</v>
      </c>
      <c r="L353" s="15" t="s">
        <v>50</v>
      </c>
      <c r="M353" s="18" t="s">
        <v>51</v>
      </c>
      <c r="N353" s="15" t="s">
        <v>50</v>
      </c>
      <c r="O353" s="16" t="str">
        <f t="shared" si="42"/>
        <v>3510 Generación, transmisión y distribución de energía eléctrica</v>
      </c>
      <c r="P353" s="10">
        <v>10238</v>
      </c>
    </row>
    <row r="354" spans="1:16" s="12" customFormat="1" ht="24" x14ac:dyDescent="0.25">
      <c r="B354" s="13" t="s">
        <v>324</v>
      </c>
      <c r="C354" s="19">
        <v>2023</v>
      </c>
      <c r="D354" s="38">
        <v>20270508163</v>
      </c>
      <c r="E354" s="14" t="s">
        <v>48</v>
      </c>
      <c r="F354" s="15" t="s">
        <v>49</v>
      </c>
      <c r="G354" s="16" t="str">
        <f t="shared" si="45"/>
        <v>D Suministro de electricidad, gas, vapor y aire acondicionado</v>
      </c>
      <c r="H354" s="14" t="str">
        <f t="shared" si="46"/>
        <v>35</v>
      </c>
      <c r="I354" s="17" t="s">
        <v>49</v>
      </c>
      <c r="J354" s="17" t="str">
        <f t="shared" si="41"/>
        <v>35 Suministro de electricidad, gas, vapor y aire acondicionado</v>
      </c>
      <c r="K354" s="14" t="str">
        <f t="shared" si="47"/>
        <v>351</v>
      </c>
      <c r="L354" s="15" t="s">
        <v>50</v>
      </c>
      <c r="M354" s="18" t="s">
        <v>51</v>
      </c>
      <c r="N354" s="15" t="s">
        <v>50</v>
      </c>
      <c r="O354" s="16" t="str">
        <f t="shared" si="42"/>
        <v>3510 Generación, transmisión y distribución de energía eléctrica</v>
      </c>
      <c r="P354" s="10">
        <v>1338413.3899999999</v>
      </c>
    </row>
    <row r="355" spans="1:16" s="12" customFormat="1" ht="24" x14ac:dyDescent="0.25">
      <c r="B355" s="13" t="s">
        <v>324</v>
      </c>
      <c r="C355" s="19">
        <v>2024</v>
      </c>
      <c r="D355" s="38">
        <v>20270508163</v>
      </c>
      <c r="E355" s="14" t="s">
        <v>48</v>
      </c>
      <c r="F355" s="15" t="s">
        <v>49</v>
      </c>
      <c r="G355" s="16" t="str">
        <f t="shared" si="45"/>
        <v>D Suministro de electricidad, gas, vapor y aire acondicionado</v>
      </c>
      <c r="H355" s="14" t="str">
        <f t="shared" si="46"/>
        <v>35</v>
      </c>
      <c r="I355" s="17" t="s">
        <v>49</v>
      </c>
      <c r="J355" s="17" t="str">
        <f t="shared" si="41"/>
        <v>35 Suministro de electricidad, gas, vapor y aire acondicionado</v>
      </c>
      <c r="K355" s="14" t="str">
        <f t="shared" si="47"/>
        <v>351</v>
      </c>
      <c r="L355" s="15" t="s">
        <v>50</v>
      </c>
      <c r="M355" s="18" t="s">
        <v>51</v>
      </c>
      <c r="N355" s="15" t="s">
        <v>50</v>
      </c>
      <c r="O355" s="16" t="str">
        <f t="shared" si="42"/>
        <v>3510 Generación, transmisión y distribución de energía eléctrica</v>
      </c>
      <c r="P355" s="10">
        <v>2743534.33</v>
      </c>
    </row>
    <row r="356" spans="1:16" s="12" customFormat="1" ht="36" x14ac:dyDescent="0.25">
      <c r="B356" s="13" t="s">
        <v>269</v>
      </c>
      <c r="C356" s="19">
        <v>2019</v>
      </c>
      <c r="D356" s="38">
        <v>20290314799</v>
      </c>
      <c r="E356" s="14" t="s">
        <v>42</v>
      </c>
      <c r="F356" s="15" t="s">
        <v>43</v>
      </c>
      <c r="G356" s="16" t="str">
        <f t="shared" si="45"/>
        <v>G Comercio al por mayor y al por menor; reparación de vehículos automotores y motocicletas</v>
      </c>
      <c r="H356" s="14" t="str">
        <f t="shared" si="46"/>
        <v>46</v>
      </c>
      <c r="I356" s="17" t="s">
        <v>44</v>
      </c>
      <c r="J356" s="17" t="str">
        <f t="shared" si="41"/>
        <v>46 Comercio al por mayor, excepto el de vehículos automotores y motocicletas</v>
      </c>
      <c r="K356" s="14" t="str">
        <f t="shared" si="47"/>
        <v>469</v>
      </c>
      <c r="L356" s="15" t="s">
        <v>45</v>
      </c>
      <c r="M356" s="18" t="s">
        <v>46</v>
      </c>
      <c r="N356" s="15" t="s">
        <v>45</v>
      </c>
      <c r="O356" s="16" t="str">
        <f t="shared" si="42"/>
        <v>4690 Venta al por mayor no especializada</v>
      </c>
      <c r="P356" s="10">
        <v>3044.52</v>
      </c>
    </row>
    <row r="357" spans="1:16" s="12" customFormat="1" ht="36" x14ac:dyDescent="0.25">
      <c r="B357" s="13" t="s">
        <v>269</v>
      </c>
      <c r="C357" s="19">
        <v>2020</v>
      </c>
      <c r="D357" s="38">
        <v>20290314799</v>
      </c>
      <c r="E357" s="14" t="s">
        <v>42</v>
      </c>
      <c r="F357" s="15" t="s">
        <v>43</v>
      </c>
      <c r="G357" s="16" t="str">
        <f t="shared" si="45"/>
        <v>G Comercio al por mayor y al por menor; reparación de vehículos automotores y motocicletas</v>
      </c>
      <c r="H357" s="14" t="str">
        <f t="shared" si="46"/>
        <v>46</v>
      </c>
      <c r="I357" s="17" t="s">
        <v>44</v>
      </c>
      <c r="J357" s="17" t="str">
        <f t="shared" si="41"/>
        <v>46 Comercio al por mayor, excepto el de vehículos automotores y motocicletas</v>
      </c>
      <c r="K357" s="14" t="str">
        <f t="shared" si="47"/>
        <v>469</v>
      </c>
      <c r="L357" s="15" t="s">
        <v>45</v>
      </c>
      <c r="M357" s="18" t="s">
        <v>46</v>
      </c>
      <c r="N357" s="15" t="s">
        <v>45</v>
      </c>
      <c r="O357" s="16" t="str">
        <f t="shared" si="42"/>
        <v>4690 Venta al por mayor no especializada</v>
      </c>
      <c r="P357" s="10">
        <v>28288.73</v>
      </c>
    </row>
    <row r="358" spans="1:16" s="12" customFormat="1" ht="36" x14ac:dyDescent="0.25">
      <c r="B358" s="13" t="s">
        <v>269</v>
      </c>
      <c r="C358" s="19">
        <v>2021</v>
      </c>
      <c r="D358" s="38">
        <v>20290314799</v>
      </c>
      <c r="E358" s="14" t="s">
        <v>42</v>
      </c>
      <c r="F358" s="15" t="s">
        <v>43</v>
      </c>
      <c r="G358" s="16" t="str">
        <f t="shared" si="45"/>
        <v>G Comercio al por mayor y al por menor; reparación de vehículos automotores y motocicletas</v>
      </c>
      <c r="H358" s="14" t="str">
        <f t="shared" si="46"/>
        <v>46</v>
      </c>
      <c r="I358" s="17" t="s">
        <v>44</v>
      </c>
      <c r="J358" s="17" t="str">
        <f t="shared" si="41"/>
        <v>46 Comercio al por mayor, excepto el de vehículos automotores y motocicletas</v>
      </c>
      <c r="K358" s="14" t="str">
        <f t="shared" si="47"/>
        <v>469</v>
      </c>
      <c r="L358" s="15" t="s">
        <v>45</v>
      </c>
      <c r="M358" s="18" t="s">
        <v>46</v>
      </c>
      <c r="N358" s="15" t="s">
        <v>45</v>
      </c>
      <c r="O358" s="16" t="str">
        <f t="shared" si="42"/>
        <v>4690 Venta al por mayor no especializada</v>
      </c>
      <c r="P358" s="10">
        <v>192866.99</v>
      </c>
    </row>
    <row r="359" spans="1:16" s="12" customFormat="1" ht="36" x14ac:dyDescent="0.25">
      <c r="B359" s="13" t="s">
        <v>269</v>
      </c>
      <c r="C359" s="19">
        <v>2022</v>
      </c>
      <c r="D359" s="38">
        <v>20290314799</v>
      </c>
      <c r="E359" s="14" t="s">
        <v>42</v>
      </c>
      <c r="F359" s="15" t="s">
        <v>43</v>
      </c>
      <c r="G359" s="16" t="str">
        <f t="shared" si="45"/>
        <v>G Comercio al por mayor y al por menor; reparación de vehículos automotores y motocicletas</v>
      </c>
      <c r="H359" s="14" t="str">
        <f t="shared" si="46"/>
        <v>46</v>
      </c>
      <c r="I359" s="17" t="s">
        <v>44</v>
      </c>
      <c r="J359" s="17" t="str">
        <f t="shared" si="41"/>
        <v>46 Comercio al por mayor, excepto el de vehículos automotores y motocicletas</v>
      </c>
      <c r="K359" s="14" t="str">
        <f t="shared" si="47"/>
        <v>469</v>
      </c>
      <c r="L359" s="15" t="s">
        <v>45</v>
      </c>
      <c r="M359" s="18" t="s">
        <v>46</v>
      </c>
      <c r="N359" s="15" t="s">
        <v>45</v>
      </c>
      <c r="O359" s="16" t="str">
        <f t="shared" si="42"/>
        <v>4690 Venta al por mayor no especializada</v>
      </c>
      <c r="P359" s="10">
        <v>263900.64</v>
      </c>
    </row>
    <row r="360" spans="1:16" s="12" customFormat="1" ht="36" x14ac:dyDescent="0.25">
      <c r="B360" s="13" t="s">
        <v>269</v>
      </c>
      <c r="C360" s="19">
        <v>2023</v>
      </c>
      <c r="D360" s="38">
        <v>20290314799</v>
      </c>
      <c r="E360" s="14" t="s">
        <v>42</v>
      </c>
      <c r="F360" s="15" t="s">
        <v>43</v>
      </c>
      <c r="G360" s="16" t="str">
        <f t="shared" si="45"/>
        <v>G Comercio al por mayor y al por menor; reparación de vehículos automotores y motocicletas</v>
      </c>
      <c r="H360" s="14" t="str">
        <f t="shared" si="46"/>
        <v>46</v>
      </c>
      <c r="I360" s="17" t="s">
        <v>44</v>
      </c>
      <c r="J360" s="17" t="str">
        <f t="shared" si="41"/>
        <v>46 Comercio al por mayor, excepto el de vehículos automotores y motocicletas</v>
      </c>
      <c r="K360" s="14" t="str">
        <f t="shared" si="47"/>
        <v>469</v>
      </c>
      <c r="L360" s="15" t="s">
        <v>45</v>
      </c>
      <c r="M360" s="18" t="s">
        <v>46</v>
      </c>
      <c r="N360" s="15" t="s">
        <v>45</v>
      </c>
      <c r="O360" s="16" t="str">
        <f t="shared" si="42"/>
        <v>4690 Venta al por mayor no especializada</v>
      </c>
      <c r="P360" s="10">
        <v>6995.69</v>
      </c>
    </row>
    <row r="361" spans="1:16" s="12" customFormat="1" ht="36" x14ac:dyDescent="0.25">
      <c r="A361" s="12">
        <v>24</v>
      </c>
      <c r="B361" s="13" t="s">
        <v>269</v>
      </c>
      <c r="C361" s="19">
        <v>2025</v>
      </c>
      <c r="D361" s="38">
        <v>20290314799</v>
      </c>
      <c r="E361" s="14" t="s">
        <v>42</v>
      </c>
      <c r="F361" s="15" t="s">
        <v>43</v>
      </c>
      <c r="G361" s="16" t="str">
        <f t="shared" si="45"/>
        <v>G Comercio al por mayor y al por menor; reparación de vehículos automotores y motocicletas</v>
      </c>
      <c r="H361" s="14" t="str">
        <f t="shared" si="46"/>
        <v>46</v>
      </c>
      <c r="I361" s="17" t="s">
        <v>44</v>
      </c>
      <c r="J361" s="17" t="str">
        <f t="shared" si="41"/>
        <v>46 Comercio al por mayor, excepto el de vehículos automotores y motocicletas</v>
      </c>
      <c r="K361" s="14" t="str">
        <f t="shared" si="47"/>
        <v>469</v>
      </c>
      <c r="L361" s="15" t="s">
        <v>45</v>
      </c>
      <c r="M361" s="18" t="s">
        <v>46</v>
      </c>
      <c r="N361" s="15" t="s">
        <v>45</v>
      </c>
      <c r="O361" s="16" t="str">
        <f t="shared" si="42"/>
        <v>4690 Venta al por mayor no especializada</v>
      </c>
      <c r="P361" s="10">
        <v>1856.24</v>
      </c>
    </row>
    <row r="362" spans="1:16" s="12" customFormat="1" ht="36" x14ac:dyDescent="0.25">
      <c r="B362" s="13" t="s">
        <v>360</v>
      </c>
      <c r="C362" s="19">
        <v>2024</v>
      </c>
      <c r="D362" s="38">
        <v>20292726628</v>
      </c>
      <c r="E362" s="14" t="s">
        <v>23</v>
      </c>
      <c r="F362" s="15" t="s">
        <v>361</v>
      </c>
      <c r="G362" s="16" t="str">
        <f t="shared" si="45"/>
        <v>C Industrias manufactureras</v>
      </c>
      <c r="H362" s="14" t="str">
        <f t="shared" si="46"/>
        <v>16</v>
      </c>
      <c r="I362" s="17" t="s">
        <v>362</v>
      </c>
      <c r="J362" s="17" t="str">
        <f t="shared" si="41"/>
        <v>16 Producción de madera y fabricación de productos de madera y corcho, excepto muebles; fabricación de artículos
de paja y de materiales trenzables</v>
      </c>
      <c r="K362" s="14" t="str">
        <f t="shared" si="47"/>
        <v>162</v>
      </c>
      <c r="L362" s="15" t="s">
        <v>363</v>
      </c>
      <c r="M362" s="18" t="s">
        <v>364</v>
      </c>
      <c r="N362" s="15" t="s">
        <v>365</v>
      </c>
      <c r="O362" s="16" t="str">
        <f t="shared" si="42"/>
        <v>1622  Fabricación de partes y piezas de carpintería para edificios y construcciones</v>
      </c>
      <c r="P362" s="10">
        <v>42398.53</v>
      </c>
    </row>
    <row r="363" spans="1:16" s="12" customFormat="1" ht="36" x14ac:dyDescent="0.25">
      <c r="A363" s="12">
        <v>34</v>
      </c>
      <c r="B363" s="13" t="s">
        <v>360</v>
      </c>
      <c r="C363" s="19">
        <v>2025</v>
      </c>
      <c r="D363" s="38">
        <v>20292726628</v>
      </c>
      <c r="E363" s="14" t="s">
        <v>23</v>
      </c>
      <c r="F363" s="15" t="s">
        <v>361</v>
      </c>
      <c r="G363" s="16" t="str">
        <f t="shared" si="45"/>
        <v>C Industrias manufactureras</v>
      </c>
      <c r="H363" s="14" t="str">
        <f t="shared" si="46"/>
        <v>16</v>
      </c>
      <c r="I363" s="17" t="s">
        <v>362</v>
      </c>
      <c r="J363" s="17" t="str">
        <f t="shared" si="41"/>
        <v>16 Producción de madera y fabricación de productos de madera y corcho, excepto muebles; fabricación de artículos
de paja y de materiales trenzables</v>
      </c>
      <c r="K363" s="14" t="str">
        <f t="shared" si="47"/>
        <v>162</v>
      </c>
      <c r="L363" s="15" t="s">
        <v>363</v>
      </c>
      <c r="M363" s="18" t="s">
        <v>364</v>
      </c>
      <c r="N363" s="15" t="s">
        <v>365</v>
      </c>
      <c r="O363" s="16" t="str">
        <f t="shared" si="42"/>
        <v>1622  Fabricación de partes y piezas de carpintería para edificios y construcciones</v>
      </c>
      <c r="P363" s="10">
        <v>5560.05</v>
      </c>
    </row>
    <row r="364" spans="1:16" s="12" customFormat="1" ht="24" x14ac:dyDescent="0.25">
      <c r="A364" s="41"/>
      <c r="B364" s="22" t="s">
        <v>104</v>
      </c>
      <c r="C364" s="48">
        <v>2006</v>
      </c>
      <c r="D364" s="40">
        <v>20312372895</v>
      </c>
      <c r="E364" s="44" t="s">
        <v>23</v>
      </c>
      <c r="F364" s="42" t="s">
        <v>24</v>
      </c>
      <c r="G364" s="43" t="str">
        <f t="shared" si="45"/>
        <v>C Industria manufacturera</v>
      </c>
      <c r="H364" s="44" t="str">
        <f t="shared" si="46"/>
        <v>23</v>
      </c>
      <c r="I364" s="45" t="s">
        <v>35</v>
      </c>
      <c r="J364" s="45" t="str">
        <f t="shared" si="41"/>
        <v>23 Fabricación de otros productos metálicos</v>
      </c>
      <c r="K364" s="44" t="str">
        <f t="shared" si="47"/>
        <v>239</v>
      </c>
      <c r="L364" s="42" t="s">
        <v>36</v>
      </c>
      <c r="M364" s="46" t="s">
        <v>37</v>
      </c>
      <c r="N364" s="42" t="s">
        <v>38</v>
      </c>
      <c r="O364" s="43" t="str">
        <f t="shared" si="42"/>
        <v>2394 Fabricación de Cemento, Cal y Yeso</v>
      </c>
      <c r="P364" s="54">
        <v>2292216.1</v>
      </c>
    </row>
    <row r="365" spans="1:16" s="12" customFormat="1" ht="24" x14ac:dyDescent="0.25">
      <c r="B365" s="13" t="s">
        <v>104</v>
      </c>
      <c r="C365" s="19">
        <v>2007</v>
      </c>
      <c r="D365" s="38">
        <v>20312372895</v>
      </c>
      <c r="E365" s="14" t="s">
        <v>23</v>
      </c>
      <c r="F365" s="15" t="s">
        <v>24</v>
      </c>
      <c r="G365" s="16" t="str">
        <f t="shared" si="45"/>
        <v>C Industria manufacturera</v>
      </c>
      <c r="H365" s="14" t="str">
        <f t="shared" si="46"/>
        <v>23</v>
      </c>
      <c r="I365" s="17" t="s">
        <v>35</v>
      </c>
      <c r="J365" s="17" t="str">
        <f t="shared" si="41"/>
        <v>23 Fabricación de otros productos metálicos</v>
      </c>
      <c r="K365" s="14" t="str">
        <f t="shared" si="47"/>
        <v>239</v>
      </c>
      <c r="L365" s="15" t="s">
        <v>36</v>
      </c>
      <c r="M365" s="18" t="s">
        <v>37</v>
      </c>
      <c r="N365" s="15" t="s">
        <v>38</v>
      </c>
      <c r="O365" s="16" t="str">
        <f t="shared" si="42"/>
        <v>2394 Fabricación de Cemento, Cal y Yeso</v>
      </c>
      <c r="P365" s="10">
        <v>3817857.29</v>
      </c>
    </row>
    <row r="366" spans="1:16" s="12" customFormat="1" ht="24" x14ac:dyDescent="0.25">
      <c r="B366" s="13" t="s">
        <v>104</v>
      </c>
      <c r="C366" s="19">
        <v>2008</v>
      </c>
      <c r="D366" s="38">
        <v>20312372895</v>
      </c>
      <c r="E366" s="14" t="s">
        <v>23</v>
      </c>
      <c r="F366" s="15" t="s">
        <v>24</v>
      </c>
      <c r="G366" s="16" t="str">
        <f t="shared" si="45"/>
        <v>C Industria manufacturera</v>
      </c>
      <c r="H366" s="14" t="str">
        <f t="shared" si="46"/>
        <v>23</v>
      </c>
      <c r="I366" s="17" t="s">
        <v>35</v>
      </c>
      <c r="J366" s="17" t="str">
        <f t="shared" si="41"/>
        <v>23 Fabricación de otros productos metálicos</v>
      </c>
      <c r="K366" s="14" t="str">
        <f t="shared" si="47"/>
        <v>239</v>
      </c>
      <c r="L366" s="15" t="s">
        <v>36</v>
      </c>
      <c r="M366" s="18" t="s">
        <v>37</v>
      </c>
      <c r="N366" s="15" t="s">
        <v>38</v>
      </c>
      <c r="O366" s="16" t="str">
        <f t="shared" si="42"/>
        <v>2394 Fabricación de Cemento, Cal y Yeso</v>
      </c>
      <c r="P366" s="10">
        <v>2071479.41</v>
      </c>
    </row>
    <row r="367" spans="1:16" s="12" customFormat="1" ht="24" x14ac:dyDescent="0.25">
      <c r="B367" s="13" t="s">
        <v>104</v>
      </c>
      <c r="C367" s="19">
        <v>2009</v>
      </c>
      <c r="D367" s="38">
        <v>20312372895</v>
      </c>
      <c r="E367" s="14" t="s">
        <v>23</v>
      </c>
      <c r="F367" s="15" t="s">
        <v>24</v>
      </c>
      <c r="G367" s="16" t="str">
        <f t="shared" si="45"/>
        <v>C Industria manufacturera</v>
      </c>
      <c r="H367" s="14" t="str">
        <f t="shared" si="46"/>
        <v>23</v>
      </c>
      <c r="I367" s="17" t="s">
        <v>35</v>
      </c>
      <c r="J367" s="17" t="str">
        <f t="shared" si="41"/>
        <v>23 Fabricación de otros productos metálicos</v>
      </c>
      <c r="K367" s="14" t="str">
        <f t="shared" si="47"/>
        <v>239</v>
      </c>
      <c r="L367" s="15" t="s">
        <v>36</v>
      </c>
      <c r="M367" s="18" t="s">
        <v>37</v>
      </c>
      <c r="N367" s="15" t="s">
        <v>38</v>
      </c>
      <c r="O367" s="16" t="str">
        <f t="shared" si="42"/>
        <v>2394 Fabricación de Cemento, Cal y Yeso</v>
      </c>
      <c r="P367" s="10">
        <v>1454975.06</v>
      </c>
    </row>
    <row r="368" spans="1:16" s="12" customFormat="1" ht="24" x14ac:dyDescent="0.25">
      <c r="B368" s="13" t="s">
        <v>104</v>
      </c>
      <c r="C368" s="19">
        <v>2010</v>
      </c>
      <c r="D368" s="38">
        <v>20312372895</v>
      </c>
      <c r="E368" s="14" t="s">
        <v>23</v>
      </c>
      <c r="F368" s="15" t="s">
        <v>24</v>
      </c>
      <c r="G368" s="16" t="str">
        <f t="shared" si="45"/>
        <v>C Industria manufacturera</v>
      </c>
      <c r="H368" s="14" t="str">
        <f t="shared" si="46"/>
        <v>23</v>
      </c>
      <c r="I368" s="17" t="s">
        <v>35</v>
      </c>
      <c r="J368" s="17" t="str">
        <f t="shared" si="41"/>
        <v>23 Fabricación de otros productos metálicos</v>
      </c>
      <c r="K368" s="14" t="str">
        <f t="shared" si="47"/>
        <v>239</v>
      </c>
      <c r="L368" s="15" t="s">
        <v>36</v>
      </c>
      <c r="M368" s="18" t="s">
        <v>37</v>
      </c>
      <c r="N368" s="15" t="s">
        <v>38</v>
      </c>
      <c r="O368" s="16" t="str">
        <f t="shared" si="42"/>
        <v>2394 Fabricación de Cemento, Cal y Yeso</v>
      </c>
      <c r="P368" s="10">
        <v>507601.47</v>
      </c>
    </row>
    <row r="369" spans="1:16" s="52" customFormat="1" ht="24" x14ac:dyDescent="0.25">
      <c r="A369" s="12"/>
      <c r="B369" s="13" t="s">
        <v>104</v>
      </c>
      <c r="C369" s="19">
        <v>2011</v>
      </c>
      <c r="D369" s="38">
        <v>20312372895</v>
      </c>
      <c r="E369" s="14" t="s">
        <v>23</v>
      </c>
      <c r="F369" s="15" t="s">
        <v>24</v>
      </c>
      <c r="G369" s="16" t="str">
        <f t="shared" si="45"/>
        <v>C Industria manufacturera</v>
      </c>
      <c r="H369" s="14" t="str">
        <f t="shared" si="46"/>
        <v>23</v>
      </c>
      <c r="I369" s="17" t="s">
        <v>35</v>
      </c>
      <c r="J369" s="17" t="str">
        <f t="shared" si="41"/>
        <v>23 Fabricación de otros productos metálicos</v>
      </c>
      <c r="K369" s="14" t="str">
        <f t="shared" si="47"/>
        <v>239</v>
      </c>
      <c r="L369" s="15" t="s">
        <v>36</v>
      </c>
      <c r="M369" s="18" t="s">
        <v>37</v>
      </c>
      <c r="N369" s="15" t="s">
        <v>38</v>
      </c>
      <c r="O369" s="16" t="str">
        <f t="shared" si="42"/>
        <v>2394 Fabricación de Cemento, Cal y Yeso</v>
      </c>
      <c r="P369" s="10">
        <v>26523.65</v>
      </c>
    </row>
    <row r="370" spans="1:16" s="12" customFormat="1" ht="24" x14ac:dyDescent="0.25">
      <c r="B370" s="13" t="s">
        <v>104</v>
      </c>
      <c r="C370" s="19">
        <v>2012</v>
      </c>
      <c r="D370" s="38">
        <v>20312372895</v>
      </c>
      <c r="E370" s="14" t="s">
        <v>23</v>
      </c>
      <c r="F370" s="15" t="s">
        <v>24</v>
      </c>
      <c r="G370" s="16" t="str">
        <f t="shared" si="45"/>
        <v>C Industria manufacturera</v>
      </c>
      <c r="H370" s="14" t="str">
        <f t="shared" si="46"/>
        <v>23</v>
      </c>
      <c r="I370" s="17" t="s">
        <v>35</v>
      </c>
      <c r="J370" s="17" t="str">
        <f t="shared" si="41"/>
        <v>23 Fabricación de otros productos metálicos</v>
      </c>
      <c r="K370" s="14" t="str">
        <f t="shared" si="47"/>
        <v>239</v>
      </c>
      <c r="L370" s="15" t="s">
        <v>36</v>
      </c>
      <c r="M370" s="18" t="s">
        <v>37</v>
      </c>
      <c r="N370" s="15" t="s">
        <v>38</v>
      </c>
      <c r="O370" s="16" t="str">
        <f t="shared" si="42"/>
        <v>2394 Fabricación de Cemento, Cal y Yeso</v>
      </c>
      <c r="P370" s="10">
        <v>33557.11</v>
      </c>
    </row>
    <row r="371" spans="1:16" s="12" customFormat="1" ht="24" x14ac:dyDescent="0.25">
      <c r="B371" s="13" t="s">
        <v>104</v>
      </c>
      <c r="C371" s="19">
        <v>2013</v>
      </c>
      <c r="D371" s="38">
        <v>20312372895</v>
      </c>
      <c r="E371" s="14" t="s">
        <v>23</v>
      </c>
      <c r="F371" s="15" t="s">
        <v>24</v>
      </c>
      <c r="G371" s="16" t="str">
        <f t="shared" si="45"/>
        <v>C Industria manufacturera</v>
      </c>
      <c r="H371" s="14" t="str">
        <f t="shared" si="46"/>
        <v>23</v>
      </c>
      <c r="I371" s="17" t="s">
        <v>35</v>
      </c>
      <c r="J371" s="17" t="str">
        <f t="shared" si="41"/>
        <v>23 Fabricación de otros productos metálicos</v>
      </c>
      <c r="K371" s="14" t="str">
        <f t="shared" si="47"/>
        <v>239</v>
      </c>
      <c r="L371" s="15" t="s">
        <v>36</v>
      </c>
      <c r="M371" s="18" t="s">
        <v>37</v>
      </c>
      <c r="N371" s="15" t="s">
        <v>38</v>
      </c>
      <c r="O371" s="16" t="str">
        <f t="shared" si="42"/>
        <v>2394 Fabricación de Cemento, Cal y Yeso</v>
      </c>
      <c r="P371" s="10">
        <v>1360482.12</v>
      </c>
    </row>
    <row r="372" spans="1:16" s="12" customFormat="1" ht="24" x14ac:dyDescent="0.25">
      <c r="B372" s="13" t="s">
        <v>104</v>
      </c>
      <c r="C372" s="19">
        <v>2014</v>
      </c>
      <c r="D372" s="38">
        <v>20312372895</v>
      </c>
      <c r="E372" s="14" t="s">
        <v>23</v>
      </c>
      <c r="F372" s="15" t="s">
        <v>24</v>
      </c>
      <c r="G372" s="16" t="str">
        <f t="shared" si="45"/>
        <v>C Industria manufacturera</v>
      </c>
      <c r="H372" s="14" t="str">
        <f t="shared" si="46"/>
        <v>23</v>
      </c>
      <c r="I372" s="17" t="s">
        <v>35</v>
      </c>
      <c r="J372" s="17" t="str">
        <f t="shared" si="41"/>
        <v>23 Fabricación de otros productos metálicos</v>
      </c>
      <c r="K372" s="14" t="str">
        <f t="shared" si="47"/>
        <v>239</v>
      </c>
      <c r="L372" s="15" t="s">
        <v>36</v>
      </c>
      <c r="M372" s="18" t="s">
        <v>37</v>
      </c>
      <c r="N372" s="15" t="s">
        <v>38</v>
      </c>
      <c r="O372" s="16" t="str">
        <f t="shared" si="42"/>
        <v>2394 Fabricación de Cemento, Cal y Yeso</v>
      </c>
      <c r="P372" s="10">
        <v>1012159.11</v>
      </c>
    </row>
    <row r="373" spans="1:16" s="12" customFormat="1" ht="24" x14ac:dyDescent="0.25">
      <c r="B373" s="13" t="s">
        <v>104</v>
      </c>
      <c r="C373" s="19">
        <v>2015</v>
      </c>
      <c r="D373" s="38">
        <v>20312372895</v>
      </c>
      <c r="E373" s="14" t="s">
        <v>23</v>
      </c>
      <c r="F373" s="15" t="s">
        <v>24</v>
      </c>
      <c r="G373" s="16" t="str">
        <f t="shared" si="45"/>
        <v>C Industria manufacturera</v>
      </c>
      <c r="H373" s="14" t="str">
        <f t="shared" si="46"/>
        <v>23</v>
      </c>
      <c r="I373" s="17" t="s">
        <v>35</v>
      </c>
      <c r="J373" s="17" t="str">
        <f t="shared" si="41"/>
        <v>23 Fabricación de otros productos metálicos</v>
      </c>
      <c r="K373" s="14" t="str">
        <f t="shared" si="47"/>
        <v>239</v>
      </c>
      <c r="L373" s="15" t="s">
        <v>36</v>
      </c>
      <c r="M373" s="18" t="s">
        <v>37</v>
      </c>
      <c r="N373" s="15" t="s">
        <v>38</v>
      </c>
      <c r="O373" s="16" t="str">
        <f t="shared" si="42"/>
        <v>2394 Fabricación de Cemento, Cal y Yeso</v>
      </c>
      <c r="P373" s="10">
        <v>368584.66</v>
      </c>
    </row>
    <row r="374" spans="1:16" s="12" customFormat="1" ht="24" x14ac:dyDescent="0.25">
      <c r="A374" s="12">
        <v>17</v>
      </c>
      <c r="B374" s="13" t="s">
        <v>104</v>
      </c>
      <c r="C374" s="19">
        <v>2025</v>
      </c>
      <c r="D374" s="38">
        <v>20312372895</v>
      </c>
      <c r="E374" s="14" t="s">
        <v>23</v>
      </c>
      <c r="F374" s="15" t="s">
        <v>24</v>
      </c>
      <c r="G374" s="16" t="str">
        <f t="shared" si="45"/>
        <v>C Industria manufacturera</v>
      </c>
      <c r="H374" s="14" t="str">
        <f t="shared" si="46"/>
        <v>23</v>
      </c>
      <c r="I374" s="17" t="s">
        <v>35</v>
      </c>
      <c r="J374" s="17" t="str">
        <f t="shared" si="41"/>
        <v>23 Fabricación de otros productos metálicos</v>
      </c>
      <c r="K374" s="14" t="str">
        <f t="shared" si="47"/>
        <v>239</v>
      </c>
      <c r="L374" s="15" t="s">
        <v>36</v>
      </c>
      <c r="M374" s="18" t="s">
        <v>37</v>
      </c>
      <c r="N374" s="15" t="s">
        <v>38</v>
      </c>
      <c r="O374" s="16" t="str">
        <f t="shared" si="42"/>
        <v>2394 Fabricación de Cemento, Cal y Yeso</v>
      </c>
      <c r="P374" s="10">
        <v>48824.79</v>
      </c>
    </row>
    <row r="375" spans="1:16" s="12" customFormat="1" ht="24" x14ac:dyDescent="0.25">
      <c r="B375" s="13" t="s">
        <v>71</v>
      </c>
      <c r="C375" s="19">
        <v>2006</v>
      </c>
      <c r="D375" s="38">
        <v>20330262428</v>
      </c>
      <c r="E375" s="14" t="s">
        <v>16</v>
      </c>
      <c r="F375" s="15" t="s">
        <v>17</v>
      </c>
      <c r="G375" s="16" t="str">
        <f t="shared" si="45"/>
        <v>B Explotación de minas y canteras</v>
      </c>
      <c r="H375" s="14" t="str">
        <f t="shared" si="46"/>
        <v>07</v>
      </c>
      <c r="I375" s="17" t="s">
        <v>18</v>
      </c>
      <c r="J375" s="17" t="str">
        <f t="shared" si="41"/>
        <v>07 Extracción de minerales metalíferos</v>
      </c>
      <c r="K375" s="14" t="str">
        <f t="shared" si="47"/>
        <v>072</v>
      </c>
      <c r="L375" s="15" t="s">
        <v>19</v>
      </c>
      <c r="M375" s="18" t="s">
        <v>20</v>
      </c>
      <c r="N375" s="15" t="s">
        <v>21</v>
      </c>
      <c r="O375" s="16" t="str">
        <f t="shared" si="42"/>
        <v>0729 Extracción de otros minerales metalíferos no ferrosos</v>
      </c>
      <c r="P375" s="10">
        <v>8361947.96</v>
      </c>
    </row>
    <row r="376" spans="1:16" s="12" customFormat="1" ht="24" x14ac:dyDescent="0.25">
      <c r="B376" s="13" t="s">
        <v>71</v>
      </c>
      <c r="C376" s="19">
        <v>2007</v>
      </c>
      <c r="D376" s="38">
        <v>20330262428</v>
      </c>
      <c r="E376" s="14" t="s">
        <v>16</v>
      </c>
      <c r="F376" s="15" t="s">
        <v>17</v>
      </c>
      <c r="G376" s="16" t="str">
        <f t="shared" si="45"/>
        <v>B Explotación de minas y canteras</v>
      </c>
      <c r="H376" s="14" t="str">
        <f t="shared" si="46"/>
        <v>07</v>
      </c>
      <c r="I376" s="17" t="s">
        <v>18</v>
      </c>
      <c r="J376" s="17" t="str">
        <f t="shared" si="41"/>
        <v>07 Extracción de minerales metalíferos</v>
      </c>
      <c r="K376" s="14" t="str">
        <f t="shared" si="47"/>
        <v>072</v>
      </c>
      <c r="L376" s="15" t="s">
        <v>19</v>
      </c>
      <c r="M376" s="18" t="s">
        <v>20</v>
      </c>
      <c r="N376" s="15" t="s">
        <v>21</v>
      </c>
      <c r="O376" s="16" t="str">
        <f t="shared" si="42"/>
        <v>0729 Extracción de otros minerales metalíferos no ferrosos</v>
      </c>
      <c r="P376" s="10">
        <v>7480001.0499999998</v>
      </c>
    </row>
    <row r="377" spans="1:16" s="12" customFormat="1" ht="24" x14ac:dyDescent="0.25">
      <c r="B377" s="13" t="s">
        <v>71</v>
      </c>
      <c r="C377" s="19">
        <v>2010</v>
      </c>
      <c r="D377" s="38">
        <v>20330262428</v>
      </c>
      <c r="E377" s="14" t="s">
        <v>16</v>
      </c>
      <c r="F377" s="15" t="s">
        <v>17</v>
      </c>
      <c r="G377" s="16" t="str">
        <f t="shared" si="45"/>
        <v>B Explotación de minas y canteras</v>
      </c>
      <c r="H377" s="14" t="str">
        <f t="shared" si="46"/>
        <v>07</v>
      </c>
      <c r="I377" s="17" t="s">
        <v>18</v>
      </c>
      <c r="J377" s="17" t="str">
        <f t="shared" si="41"/>
        <v>07 Extracción de minerales metalíferos</v>
      </c>
      <c r="K377" s="14" t="str">
        <f t="shared" si="47"/>
        <v>072</v>
      </c>
      <c r="L377" s="15" t="s">
        <v>19</v>
      </c>
      <c r="M377" s="18" t="s">
        <v>20</v>
      </c>
      <c r="N377" s="15" t="s">
        <v>21</v>
      </c>
      <c r="O377" s="16" t="str">
        <f t="shared" si="42"/>
        <v>0729 Extracción de otros minerales metalíferos no ferrosos</v>
      </c>
      <c r="P377" s="10">
        <v>8727403.6400000006</v>
      </c>
    </row>
    <row r="378" spans="1:16" s="12" customFormat="1" ht="24" x14ac:dyDescent="0.25">
      <c r="B378" s="13" t="s">
        <v>71</v>
      </c>
      <c r="C378" s="19">
        <v>2018</v>
      </c>
      <c r="D378" s="38">
        <v>20330262428</v>
      </c>
      <c r="E378" s="14" t="s">
        <v>16</v>
      </c>
      <c r="F378" s="15" t="s">
        <v>17</v>
      </c>
      <c r="G378" s="16" t="str">
        <f t="shared" si="45"/>
        <v>B Explotación de minas y canteras</v>
      </c>
      <c r="H378" s="14" t="str">
        <f t="shared" ref="H378:H409" si="48">LEFT(K378,2)</f>
        <v>07</v>
      </c>
      <c r="I378" s="17" t="s">
        <v>18</v>
      </c>
      <c r="J378" s="17" t="str">
        <f t="shared" si="41"/>
        <v>07 Extracción de minerales metalíferos</v>
      </c>
      <c r="K378" s="14" t="str">
        <f t="shared" ref="K378:K409" si="49">LEFT(M378,3)</f>
        <v>072</v>
      </c>
      <c r="L378" s="15" t="s">
        <v>19</v>
      </c>
      <c r="M378" s="18" t="s">
        <v>20</v>
      </c>
      <c r="N378" s="15" t="s">
        <v>21</v>
      </c>
      <c r="O378" s="16" t="str">
        <f t="shared" si="42"/>
        <v>0729 Extracción de otros minerales metalíferos no ferrosos</v>
      </c>
      <c r="P378" s="10"/>
    </row>
    <row r="379" spans="1:16" s="12" customFormat="1" ht="24" x14ac:dyDescent="0.25">
      <c r="B379" s="13" t="s">
        <v>71</v>
      </c>
      <c r="C379" s="19">
        <v>2013</v>
      </c>
      <c r="D379" s="38">
        <v>20330262428</v>
      </c>
      <c r="E379" s="14" t="s">
        <v>16</v>
      </c>
      <c r="F379" s="15" t="s">
        <v>17</v>
      </c>
      <c r="G379" s="16" t="str">
        <f t="shared" si="45"/>
        <v>B Explotación de minas y canteras</v>
      </c>
      <c r="H379" s="14" t="str">
        <f t="shared" si="48"/>
        <v>07</v>
      </c>
      <c r="I379" s="17" t="s">
        <v>18</v>
      </c>
      <c r="J379" s="17" t="str">
        <f t="shared" si="41"/>
        <v>07 Extracción de minerales metalíferos</v>
      </c>
      <c r="K379" s="14" t="str">
        <f t="shared" si="49"/>
        <v>072</v>
      </c>
      <c r="L379" s="15" t="s">
        <v>19</v>
      </c>
      <c r="M379" s="18" t="s">
        <v>20</v>
      </c>
      <c r="N379" s="15" t="s">
        <v>21</v>
      </c>
      <c r="O379" s="16" t="str">
        <f t="shared" si="42"/>
        <v>0729 Extracción de otros minerales metalíferos no ferrosos</v>
      </c>
      <c r="P379" s="10">
        <v>156322.95000000001</v>
      </c>
    </row>
    <row r="380" spans="1:16" s="12" customFormat="1" ht="24" x14ac:dyDescent="0.25">
      <c r="B380" s="13" t="s">
        <v>71</v>
      </c>
      <c r="C380" s="19">
        <v>2014</v>
      </c>
      <c r="D380" s="38">
        <v>20330262428</v>
      </c>
      <c r="E380" s="14" t="s">
        <v>16</v>
      </c>
      <c r="F380" s="15" t="s">
        <v>17</v>
      </c>
      <c r="G380" s="16" t="str">
        <f t="shared" si="45"/>
        <v>B Explotación de minas y canteras</v>
      </c>
      <c r="H380" s="14" t="str">
        <f t="shared" si="48"/>
        <v>07</v>
      </c>
      <c r="I380" s="17" t="s">
        <v>18</v>
      </c>
      <c r="J380" s="17" t="str">
        <f t="shared" si="41"/>
        <v>07 Extracción de minerales metalíferos</v>
      </c>
      <c r="K380" s="14" t="str">
        <f t="shared" si="49"/>
        <v>072</v>
      </c>
      <c r="L380" s="15" t="s">
        <v>19</v>
      </c>
      <c r="M380" s="18" t="s">
        <v>20</v>
      </c>
      <c r="N380" s="15" t="s">
        <v>21</v>
      </c>
      <c r="O380" s="16" t="str">
        <f t="shared" si="42"/>
        <v>0729 Extracción de otros minerales metalíferos no ferrosos</v>
      </c>
      <c r="P380" s="10">
        <v>7172682.8899999997</v>
      </c>
    </row>
    <row r="381" spans="1:16" s="12" customFormat="1" ht="24" x14ac:dyDescent="0.25">
      <c r="B381" s="13" t="s">
        <v>71</v>
      </c>
      <c r="C381" s="19">
        <v>2015</v>
      </c>
      <c r="D381" s="38">
        <v>20330262428</v>
      </c>
      <c r="E381" s="14" t="s">
        <v>16</v>
      </c>
      <c r="F381" s="15" t="s">
        <v>17</v>
      </c>
      <c r="G381" s="16" t="str">
        <f t="shared" si="45"/>
        <v>B Explotación de minas y canteras</v>
      </c>
      <c r="H381" s="14" t="str">
        <f t="shared" si="48"/>
        <v>07</v>
      </c>
      <c r="I381" s="17" t="s">
        <v>18</v>
      </c>
      <c r="J381" s="17" t="str">
        <f t="shared" si="41"/>
        <v>07 Extracción de minerales metalíferos</v>
      </c>
      <c r="K381" s="14" t="str">
        <f t="shared" si="49"/>
        <v>072</v>
      </c>
      <c r="L381" s="15" t="s">
        <v>19</v>
      </c>
      <c r="M381" s="18" t="s">
        <v>20</v>
      </c>
      <c r="N381" s="15" t="s">
        <v>21</v>
      </c>
      <c r="O381" s="16" t="str">
        <f t="shared" si="42"/>
        <v>0729 Extracción de otros minerales metalíferos no ferrosos</v>
      </c>
      <c r="P381" s="10">
        <v>274367.86</v>
      </c>
    </row>
    <row r="382" spans="1:16" s="12" customFormat="1" ht="24" x14ac:dyDescent="0.25">
      <c r="B382" s="13" t="s">
        <v>71</v>
      </c>
      <c r="C382" s="19">
        <v>2016</v>
      </c>
      <c r="D382" s="38">
        <v>20330262428</v>
      </c>
      <c r="E382" s="14" t="s">
        <v>16</v>
      </c>
      <c r="F382" s="15" t="s">
        <v>17</v>
      </c>
      <c r="G382" s="16" t="str">
        <f t="shared" si="45"/>
        <v>B Explotación de minas y canteras</v>
      </c>
      <c r="H382" s="14" t="str">
        <f t="shared" si="48"/>
        <v>07</v>
      </c>
      <c r="I382" s="17" t="s">
        <v>18</v>
      </c>
      <c r="J382" s="17" t="str">
        <f t="shared" si="41"/>
        <v>07 Extracción de minerales metalíferos</v>
      </c>
      <c r="K382" s="14" t="str">
        <f t="shared" si="49"/>
        <v>072</v>
      </c>
      <c r="L382" s="15" t="s">
        <v>19</v>
      </c>
      <c r="M382" s="18" t="s">
        <v>20</v>
      </c>
      <c r="N382" s="15" t="s">
        <v>21</v>
      </c>
      <c r="O382" s="16" t="str">
        <f t="shared" si="42"/>
        <v>0729 Extracción de otros minerales metalíferos no ferrosos</v>
      </c>
      <c r="P382" s="10">
        <v>37849.5</v>
      </c>
    </row>
    <row r="383" spans="1:16" s="12" customFormat="1" ht="24" x14ac:dyDescent="0.25">
      <c r="B383" s="13" t="s">
        <v>71</v>
      </c>
      <c r="C383" s="19">
        <v>2017</v>
      </c>
      <c r="D383" s="38">
        <v>20330262428</v>
      </c>
      <c r="E383" s="14" t="s">
        <v>16</v>
      </c>
      <c r="F383" s="15" t="s">
        <v>17</v>
      </c>
      <c r="G383" s="16" t="str">
        <f t="shared" si="45"/>
        <v>B Explotación de minas y canteras</v>
      </c>
      <c r="H383" s="14" t="str">
        <f t="shared" si="48"/>
        <v>07</v>
      </c>
      <c r="I383" s="17" t="s">
        <v>18</v>
      </c>
      <c r="J383" s="17" t="str">
        <f t="shared" si="41"/>
        <v>07 Extracción de minerales metalíferos</v>
      </c>
      <c r="K383" s="14" t="str">
        <f t="shared" si="49"/>
        <v>072</v>
      </c>
      <c r="L383" s="15" t="s">
        <v>19</v>
      </c>
      <c r="M383" s="18" t="s">
        <v>20</v>
      </c>
      <c r="N383" s="15" t="s">
        <v>21</v>
      </c>
      <c r="O383" s="16" t="str">
        <f t="shared" si="42"/>
        <v>0729 Extracción de otros minerales metalíferos no ferrosos</v>
      </c>
      <c r="P383" s="10">
        <v>915882.59</v>
      </c>
    </row>
    <row r="384" spans="1:16" s="12" customFormat="1" ht="24" x14ac:dyDescent="0.25">
      <c r="B384" s="13" t="s">
        <v>71</v>
      </c>
      <c r="C384" s="19">
        <v>2018</v>
      </c>
      <c r="D384" s="38">
        <v>20330262428</v>
      </c>
      <c r="E384" s="14" t="s">
        <v>16</v>
      </c>
      <c r="F384" s="15" t="s">
        <v>17</v>
      </c>
      <c r="G384" s="16" t="str">
        <f t="shared" si="45"/>
        <v>B Explotación de minas y canteras</v>
      </c>
      <c r="H384" s="14" t="str">
        <f t="shared" si="48"/>
        <v>07</v>
      </c>
      <c r="I384" s="17" t="s">
        <v>18</v>
      </c>
      <c r="J384" s="17" t="str">
        <f t="shared" si="41"/>
        <v>07 Extracción de minerales metalíferos</v>
      </c>
      <c r="K384" s="14" t="str">
        <f t="shared" si="49"/>
        <v>072</v>
      </c>
      <c r="L384" s="15" t="s">
        <v>19</v>
      </c>
      <c r="M384" s="18" t="s">
        <v>20</v>
      </c>
      <c r="N384" s="15" t="s">
        <v>21</v>
      </c>
      <c r="O384" s="16" t="str">
        <f t="shared" si="42"/>
        <v>0729 Extracción de otros minerales metalíferos no ferrosos</v>
      </c>
      <c r="P384" s="10">
        <v>9390124.0700000003</v>
      </c>
    </row>
    <row r="385" spans="1:16" s="12" customFormat="1" ht="24" x14ac:dyDescent="0.25">
      <c r="B385" s="13" t="s">
        <v>71</v>
      </c>
      <c r="C385" s="19">
        <v>2018</v>
      </c>
      <c r="D385" s="38">
        <v>20330262428</v>
      </c>
      <c r="E385" s="14" t="s">
        <v>16</v>
      </c>
      <c r="F385" s="15" t="s">
        <v>17</v>
      </c>
      <c r="G385" s="16" t="str">
        <f t="shared" si="45"/>
        <v>B Explotación de minas y canteras</v>
      </c>
      <c r="H385" s="14" t="str">
        <f t="shared" si="48"/>
        <v>07</v>
      </c>
      <c r="I385" s="17" t="s">
        <v>18</v>
      </c>
      <c r="J385" s="17" t="str">
        <f t="shared" si="41"/>
        <v>07 Extracción de minerales metalíferos</v>
      </c>
      <c r="K385" s="14" t="str">
        <f t="shared" si="49"/>
        <v>072</v>
      </c>
      <c r="L385" s="15" t="s">
        <v>19</v>
      </c>
      <c r="M385" s="18" t="s">
        <v>20</v>
      </c>
      <c r="N385" s="15" t="s">
        <v>21</v>
      </c>
      <c r="O385" s="16" t="str">
        <f t="shared" si="42"/>
        <v>0729 Extracción de otros minerales metalíferos no ferrosos</v>
      </c>
      <c r="P385" s="10">
        <v>817</v>
      </c>
    </row>
    <row r="386" spans="1:16" s="12" customFormat="1" ht="24" x14ac:dyDescent="0.25">
      <c r="B386" s="13" t="s">
        <v>71</v>
      </c>
      <c r="C386" s="19">
        <v>2019</v>
      </c>
      <c r="D386" s="38">
        <v>20330262428</v>
      </c>
      <c r="E386" s="14" t="s">
        <v>16</v>
      </c>
      <c r="F386" s="15" t="s">
        <v>17</v>
      </c>
      <c r="G386" s="16" t="str">
        <f t="shared" si="45"/>
        <v>B Explotación de minas y canteras</v>
      </c>
      <c r="H386" s="14" t="str">
        <f t="shared" si="48"/>
        <v>07</v>
      </c>
      <c r="I386" s="17" t="s">
        <v>18</v>
      </c>
      <c r="J386" s="17" t="str">
        <f t="shared" ref="J386:J447" si="50">H386&amp;" "&amp;I386</f>
        <v>07 Extracción de minerales metalíferos</v>
      </c>
      <c r="K386" s="14" t="str">
        <f t="shared" si="49"/>
        <v>072</v>
      </c>
      <c r="L386" s="15" t="s">
        <v>19</v>
      </c>
      <c r="M386" s="18" t="s">
        <v>20</v>
      </c>
      <c r="N386" s="15" t="s">
        <v>21</v>
      </c>
      <c r="O386" s="16" t="str">
        <f t="shared" ref="O386:O449" si="51">M386&amp;" "&amp;N386</f>
        <v>0729 Extracción de otros minerales metalíferos no ferrosos</v>
      </c>
      <c r="P386" s="10">
        <v>296517.63</v>
      </c>
    </row>
    <row r="387" spans="1:16" s="12" customFormat="1" ht="24" x14ac:dyDescent="0.25">
      <c r="B387" s="13" t="s">
        <v>71</v>
      </c>
      <c r="C387" s="19">
        <v>2019</v>
      </c>
      <c r="D387" s="38">
        <v>20330262428</v>
      </c>
      <c r="E387" s="14" t="s">
        <v>16</v>
      </c>
      <c r="F387" s="15" t="s">
        <v>17</v>
      </c>
      <c r="G387" s="16" t="str">
        <f t="shared" si="45"/>
        <v>B Explotación de minas y canteras</v>
      </c>
      <c r="H387" s="14" t="str">
        <f t="shared" si="48"/>
        <v>07</v>
      </c>
      <c r="I387" s="17" t="s">
        <v>18</v>
      </c>
      <c r="J387" s="17" t="str">
        <f t="shared" si="50"/>
        <v>07 Extracción de minerales metalíferos</v>
      </c>
      <c r="K387" s="14" t="str">
        <f t="shared" si="49"/>
        <v>072</v>
      </c>
      <c r="L387" s="15" t="s">
        <v>19</v>
      </c>
      <c r="M387" s="18" t="s">
        <v>20</v>
      </c>
      <c r="N387" s="15" t="s">
        <v>21</v>
      </c>
      <c r="O387" s="16" t="str">
        <f t="shared" si="51"/>
        <v>0729 Extracción de otros minerales metalíferos no ferrosos</v>
      </c>
      <c r="P387" s="10">
        <v>9480036.8000000007</v>
      </c>
    </row>
    <row r="388" spans="1:16" s="12" customFormat="1" ht="24" x14ac:dyDescent="0.25">
      <c r="B388" s="13" t="s">
        <v>71</v>
      </c>
      <c r="C388" s="19">
        <v>2020</v>
      </c>
      <c r="D388" s="38">
        <v>20330262428</v>
      </c>
      <c r="E388" s="14" t="s">
        <v>16</v>
      </c>
      <c r="F388" s="15" t="s">
        <v>17</v>
      </c>
      <c r="G388" s="16" t="str">
        <f t="shared" si="45"/>
        <v>B Explotación de minas y canteras</v>
      </c>
      <c r="H388" s="14" t="str">
        <f t="shared" si="48"/>
        <v>07</v>
      </c>
      <c r="I388" s="17" t="s">
        <v>18</v>
      </c>
      <c r="J388" s="17" t="str">
        <f t="shared" si="50"/>
        <v>07 Extracción de minerales metalíferos</v>
      </c>
      <c r="K388" s="14" t="str">
        <f t="shared" si="49"/>
        <v>072</v>
      </c>
      <c r="L388" s="15" t="s">
        <v>19</v>
      </c>
      <c r="M388" s="18" t="s">
        <v>20</v>
      </c>
      <c r="N388" s="15" t="s">
        <v>21</v>
      </c>
      <c r="O388" s="16" t="str">
        <f t="shared" si="51"/>
        <v>0729 Extracción de otros minerales metalíferos no ferrosos</v>
      </c>
      <c r="P388" s="10">
        <v>874756.17</v>
      </c>
    </row>
    <row r="389" spans="1:16" s="12" customFormat="1" ht="24" x14ac:dyDescent="0.25">
      <c r="B389" s="13" t="s">
        <v>71</v>
      </c>
      <c r="C389" s="19">
        <v>2021</v>
      </c>
      <c r="D389" s="38">
        <v>20330262428</v>
      </c>
      <c r="E389" s="14" t="s">
        <v>16</v>
      </c>
      <c r="F389" s="15" t="s">
        <v>17</v>
      </c>
      <c r="G389" s="16" t="str">
        <f t="shared" si="45"/>
        <v>B Explotación de minas y canteras</v>
      </c>
      <c r="H389" s="14" t="str">
        <f t="shared" si="48"/>
        <v>07</v>
      </c>
      <c r="I389" s="17" t="s">
        <v>18</v>
      </c>
      <c r="J389" s="17" t="str">
        <f t="shared" si="50"/>
        <v>07 Extracción de minerales metalíferos</v>
      </c>
      <c r="K389" s="14" t="str">
        <f t="shared" si="49"/>
        <v>072</v>
      </c>
      <c r="L389" s="15" t="s">
        <v>19</v>
      </c>
      <c r="M389" s="18" t="s">
        <v>20</v>
      </c>
      <c r="N389" s="15" t="s">
        <v>21</v>
      </c>
      <c r="O389" s="16" t="str">
        <f t="shared" si="51"/>
        <v>0729 Extracción de otros minerales metalíferos no ferrosos</v>
      </c>
      <c r="P389" s="10">
        <v>944276.61</v>
      </c>
    </row>
    <row r="390" spans="1:16" s="12" customFormat="1" ht="24" x14ac:dyDescent="0.25">
      <c r="B390" s="13" t="s">
        <v>71</v>
      </c>
      <c r="C390" s="19">
        <v>2022</v>
      </c>
      <c r="D390" s="38">
        <v>20330262428</v>
      </c>
      <c r="E390" s="14" t="s">
        <v>16</v>
      </c>
      <c r="F390" s="15" t="s">
        <v>17</v>
      </c>
      <c r="G390" s="16" t="str">
        <f t="shared" si="45"/>
        <v>B Explotación de minas y canteras</v>
      </c>
      <c r="H390" s="14" t="str">
        <f t="shared" si="48"/>
        <v>07</v>
      </c>
      <c r="I390" s="17" t="s">
        <v>18</v>
      </c>
      <c r="J390" s="17" t="str">
        <f t="shared" si="50"/>
        <v>07 Extracción de minerales metalíferos</v>
      </c>
      <c r="K390" s="14" t="str">
        <f t="shared" si="49"/>
        <v>072</v>
      </c>
      <c r="L390" s="15" t="s">
        <v>19</v>
      </c>
      <c r="M390" s="18" t="s">
        <v>20</v>
      </c>
      <c r="N390" s="15" t="s">
        <v>21</v>
      </c>
      <c r="O390" s="16" t="str">
        <f t="shared" si="51"/>
        <v>0729 Extracción de otros minerales metalíferos no ferrosos</v>
      </c>
      <c r="P390" s="10">
        <v>11883557.5</v>
      </c>
    </row>
    <row r="391" spans="1:16" s="12" customFormat="1" ht="24" x14ac:dyDescent="0.25">
      <c r="B391" s="13" t="s">
        <v>71</v>
      </c>
      <c r="C391" s="19">
        <v>2023</v>
      </c>
      <c r="D391" s="38">
        <v>20330262428</v>
      </c>
      <c r="E391" s="14" t="s">
        <v>16</v>
      </c>
      <c r="F391" s="15" t="s">
        <v>17</v>
      </c>
      <c r="G391" s="16" t="str">
        <f t="shared" si="45"/>
        <v>B Explotación de minas y canteras</v>
      </c>
      <c r="H391" s="14" t="str">
        <f t="shared" si="48"/>
        <v>07</v>
      </c>
      <c r="I391" s="17" t="s">
        <v>18</v>
      </c>
      <c r="J391" s="17" t="str">
        <f t="shared" si="50"/>
        <v>07 Extracción de minerales metalíferos</v>
      </c>
      <c r="K391" s="14" t="str">
        <f t="shared" si="49"/>
        <v>072</v>
      </c>
      <c r="L391" s="15" t="s">
        <v>19</v>
      </c>
      <c r="M391" s="18" t="s">
        <v>20</v>
      </c>
      <c r="N391" s="15" t="s">
        <v>21</v>
      </c>
      <c r="O391" s="16" t="str">
        <f t="shared" si="51"/>
        <v>0729 Extracción de otros minerales metalíferos no ferrosos</v>
      </c>
      <c r="P391" s="10">
        <v>11466527.939999999</v>
      </c>
    </row>
    <row r="392" spans="1:16" s="12" customFormat="1" ht="24" x14ac:dyDescent="0.25">
      <c r="B392" s="13" t="s">
        <v>71</v>
      </c>
      <c r="C392" s="19">
        <v>2024</v>
      </c>
      <c r="D392" s="38">
        <v>20330262428</v>
      </c>
      <c r="E392" s="14" t="s">
        <v>16</v>
      </c>
      <c r="F392" s="15" t="s">
        <v>17</v>
      </c>
      <c r="G392" s="16" t="str">
        <f t="shared" si="45"/>
        <v>B Explotación de minas y canteras</v>
      </c>
      <c r="H392" s="14" t="str">
        <f t="shared" si="48"/>
        <v>07</v>
      </c>
      <c r="I392" s="17" t="s">
        <v>18</v>
      </c>
      <c r="J392" s="17" t="str">
        <f t="shared" si="50"/>
        <v>07 Extracción de minerales metalíferos</v>
      </c>
      <c r="K392" s="14" t="str">
        <f t="shared" si="49"/>
        <v>072</v>
      </c>
      <c r="L392" s="15" t="s">
        <v>19</v>
      </c>
      <c r="M392" s="18" t="s">
        <v>20</v>
      </c>
      <c r="N392" s="15" t="s">
        <v>21</v>
      </c>
      <c r="O392" s="16" t="str">
        <f t="shared" si="51"/>
        <v>0729 Extracción de otros minerales metalíferos no ferrosos</v>
      </c>
      <c r="P392" s="10">
        <v>1525902.8</v>
      </c>
    </row>
    <row r="393" spans="1:16" s="12" customFormat="1" ht="24" x14ac:dyDescent="0.25">
      <c r="A393" s="12">
        <v>5</v>
      </c>
      <c r="B393" s="13" t="s">
        <v>71</v>
      </c>
      <c r="C393" s="19">
        <v>2025</v>
      </c>
      <c r="D393" s="38">
        <v>20330262428</v>
      </c>
      <c r="E393" s="14" t="s">
        <v>16</v>
      </c>
      <c r="F393" s="15" t="s">
        <v>17</v>
      </c>
      <c r="G393" s="16" t="str">
        <f t="shared" si="45"/>
        <v>B Explotación de minas y canteras</v>
      </c>
      <c r="H393" s="14" t="str">
        <f t="shared" si="48"/>
        <v>07</v>
      </c>
      <c r="I393" s="17" t="s">
        <v>18</v>
      </c>
      <c r="J393" s="17" t="str">
        <f t="shared" si="50"/>
        <v>07 Extracción de minerales metalíferos</v>
      </c>
      <c r="K393" s="14" t="str">
        <f t="shared" si="49"/>
        <v>072</v>
      </c>
      <c r="L393" s="15" t="s">
        <v>19</v>
      </c>
      <c r="M393" s="18" t="s">
        <v>20</v>
      </c>
      <c r="N393" s="15" t="s">
        <v>21</v>
      </c>
      <c r="O393" s="16" t="str">
        <f t="shared" si="51"/>
        <v>0729 Extracción de otros minerales metalíferos no ferrosos</v>
      </c>
      <c r="P393" s="10">
        <v>1278463.72</v>
      </c>
    </row>
    <row r="394" spans="1:16" s="12" customFormat="1" ht="36" x14ac:dyDescent="0.25">
      <c r="B394" s="13" t="s">
        <v>115</v>
      </c>
      <c r="C394" s="19">
        <v>2007</v>
      </c>
      <c r="D394" s="38">
        <v>20330546612</v>
      </c>
      <c r="E394" s="14" t="s">
        <v>42</v>
      </c>
      <c r="F394" s="15" t="s">
        <v>43</v>
      </c>
      <c r="G394" s="16" t="str">
        <f t="shared" si="45"/>
        <v>G Comercio al por mayor y al por menor; reparación de vehículos automotores y motocicletas</v>
      </c>
      <c r="H394" s="14" t="str">
        <f t="shared" si="48"/>
        <v>46</v>
      </c>
      <c r="I394" s="17" t="s">
        <v>44</v>
      </c>
      <c r="J394" s="17" t="str">
        <f t="shared" si="50"/>
        <v>46 Comercio al por mayor, excepto el de vehículos automotores y motocicletas</v>
      </c>
      <c r="K394" s="14" t="str">
        <f t="shared" si="49"/>
        <v>466</v>
      </c>
      <c r="L394" s="15" t="s">
        <v>59</v>
      </c>
      <c r="M394" s="18" t="s">
        <v>116</v>
      </c>
      <c r="N394" s="15" t="s">
        <v>117</v>
      </c>
      <c r="O394" s="16" t="str">
        <f t="shared" si="51"/>
        <v>4662 Venta al por mayor de metales y minerales metalíferos</v>
      </c>
      <c r="P394" s="10">
        <v>4076.35</v>
      </c>
    </row>
    <row r="395" spans="1:16" s="12" customFormat="1" ht="24" x14ac:dyDescent="0.25">
      <c r="B395" s="22" t="s">
        <v>369</v>
      </c>
      <c r="C395" s="48">
        <v>2003</v>
      </c>
      <c r="D395" s="40">
        <v>20330791412</v>
      </c>
      <c r="E395" s="14" t="s">
        <v>48</v>
      </c>
      <c r="F395" s="15" t="s">
        <v>49</v>
      </c>
      <c r="G395" s="16" t="str">
        <f t="shared" si="45"/>
        <v>D Suministro de electricidad, gas, vapor y aire acondicionado</v>
      </c>
      <c r="H395" s="14" t="str">
        <f t="shared" si="48"/>
        <v>35</v>
      </c>
      <c r="I395" s="17" t="s">
        <v>49</v>
      </c>
      <c r="J395" s="17" t="str">
        <f t="shared" si="50"/>
        <v>35 Suministro de electricidad, gas, vapor y aire acondicionado</v>
      </c>
      <c r="K395" s="14" t="str">
        <f t="shared" si="49"/>
        <v>351</v>
      </c>
      <c r="L395" s="15" t="s">
        <v>50</v>
      </c>
      <c r="M395" s="18" t="s">
        <v>51</v>
      </c>
      <c r="N395" s="15" t="s">
        <v>50</v>
      </c>
      <c r="O395" s="16" t="str">
        <f t="shared" si="51"/>
        <v>3510 Generación, transmisión y distribución de energía eléctrica</v>
      </c>
      <c r="P395" s="10">
        <v>37742.01</v>
      </c>
    </row>
    <row r="396" spans="1:16" s="12" customFormat="1" ht="24" x14ac:dyDescent="0.25">
      <c r="B396" s="22" t="s">
        <v>369</v>
      </c>
      <c r="C396" s="48">
        <v>2003</v>
      </c>
      <c r="D396" s="40">
        <v>20330791412</v>
      </c>
      <c r="E396" s="14" t="s">
        <v>48</v>
      </c>
      <c r="F396" s="15" t="s">
        <v>49</v>
      </c>
      <c r="G396" s="16" t="str">
        <f t="shared" si="45"/>
        <v>D Suministro de electricidad, gas, vapor y aire acondicionado</v>
      </c>
      <c r="H396" s="14" t="str">
        <f t="shared" si="48"/>
        <v>35</v>
      </c>
      <c r="I396" s="17" t="s">
        <v>49</v>
      </c>
      <c r="J396" s="17" t="str">
        <f t="shared" si="50"/>
        <v>35 Suministro de electricidad, gas, vapor y aire acondicionado</v>
      </c>
      <c r="K396" s="14" t="str">
        <f t="shared" si="49"/>
        <v>351</v>
      </c>
      <c r="L396" s="15" t="s">
        <v>50</v>
      </c>
      <c r="M396" s="18" t="s">
        <v>51</v>
      </c>
      <c r="N396" s="15" t="s">
        <v>50</v>
      </c>
      <c r="O396" s="16" t="str">
        <f t="shared" si="51"/>
        <v>3510 Generación, transmisión y distribución de energía eléctrica</v>
      </c>
      <c r="P396" s="10">
        <v>29177.88</v>
      </c>
    </row>
    <row r="397" spans="1:16" s="12" customFormat="1" ht="24" x14ac:dyDescent="0.25">
      <c r="B397" s="13" t="s">
        <v>369</v>
      </c>
      <c r="C397" s="19">
        <v>2004</v>
      </c>
      <c r="D397" s="38">
        <v>20330791412</v>
      </c>
      <c r="E397" s="14" t="s">
        <v>48</v>
      </c>
      <c r="F397" s="15" t="s">
        <v>49</v>
      </c>
      <c r="G397" s="16" t="str">
        <f t="shared" si="45"/>
        <v>D Suministro de electricidad, gas, vapor y aire acondicionado</v>
      </c>
      <c r="H397" s="14" t="str">
        <f t="shared" si="48"/>
        <v>35</v>
      </c>
      <c r="I397" s="17" t="s">
        <v>49</v>
      </c>
      <c r="J397" s="17" t="str">
        <f t="shared" si="50"/>
        <v>35 Suministro de electricidad, gas, vapor y aire acondicionado</v>
      </c>
      <c r="K397" s="14" t="str">
        <f t="shared" si="49"/>
        <v>351</v>
      </c>
      <c r="L397" s="15" t="s">
        <v>50</v>
      </c>
      <c r="M397" s="18" t="s">
        <v>51</v>
      </c>
      <c r="N397" s="15" t="s">
        <v>50</v>
      </c>
      <c r="O397" s="16" t="str">
        <f t="shared" si="51"/>
        <v>3510 Generación, transmisión y distribución de energía eléctrica</v>
      </c>
      <c r="P397" s="10">
        <v>188192.25</v>
      </c>
    </row>
    <row r="398" spans="1:16" s="12" customFormat="1" ht="24" x14ac:dyDescent="0.25">
      <c r="B398" s="13" t="s">
        <v>369</v>
      </c>
      <c r="C398" s="19">
        <v>2005</v>
      </c>
      <c r="D398" s="38">
        <v>20330791412</v>
      </c>
      <c r="E398" s="14" t="s">
        <v>48</v>
      </c>
      <c r="F398" s="15" t="s">
        <v>49</v>
      </c>
      <c r="G398" s="16" t="str">
        <f t="shared" si="45"/>
        <v>D Suministro de electricidad, gas, vapor y aire acondicionado</v>
      </c>
      <c r="H398" s="14" t="str">
        <f t="shared" si="48"/>
        <v>35</v>
      </c>
      <c r="I398" s="17" t="s">
        <v>49</v>
      </c>
      <c r="J398" s="17" t="str">
        <f t="shared" si="50"/>
        <v>35 Suministro de electricidad, gas, vapor y aire acondicionado</v>
      </c>
      <c r="K398" s="14" t="str">
        <f t="shared" si="49"/>
        <v>351</v>
      </c>
      <c r="L398" s="15" t="s">
        <v>50</v>
      </c>
      <c r="M398" s="18" t="s">
        <v>51</v>
      </c>
      <c r="N398" s="15" t="s">
        <v>50</v>
      </c>
      <c r="O398" s="16" t="str">
        <f t="shared" si="51"/>
        <v>3510 Generación, transmisión y distribución de energía eléctrica</v>
      </c>
      <c r="P398" s="10">
        <v>88711.07</v>
      </c>
    </row>
    <row r="399" spans="1:16" s="12" customFormat="1" ht="24" x14ac:dyDescent="0.25">
      <c r="B399" s="13" t="s">
        <v>369</v>
      </c>
      <c r="C399" s="19">
        <v>2006</v>
      </c>
      <c r="D399" s="38">
        <v>20330791412</v>
      </c>
      <c r="E399" s="14" t="s">
        <v>48</v>
      </c>
      <c r="F399" s="15" t="s">
        <v>49</v>
      </c>
      <c r="G399" s="16" t="str">
        <f t="shared" si="45"/>
        <v>D Suministro de electricidad, gas, vapor y aire acondicionado</v>
      </c>
      <c r="H399" s="14" t="str">
        <f t="shared" si="48"/>
        <v>35</v>
      </c>
      <c r="I399" s="17" t="s">
        <v>49</v>
      </c>
      <c r="J399" s="17" t="str">
        <f t="shared" si="50"/>
        <v>35 Suministro de electricidad, gas, vapor y aire acondicionado</v>
      </c>
      <c r="K399" s="14" t="str">
        <f t="shared" si="49"/>
        <v>351</v>
      </c>
      <c r="L399" s="15" t="s">
        <v>50</v>
      </c>
      <c r="M399" s="18" t="s">
        <v>51</v>
      </c>
      <c r="N399" s="15" t="s">
        <v>50</v>
      </c>
      <c r="O399" s="16" t="str">
        <f t="shared" si="51"/>
        <v>3510 Generación, transmisión y distribución de energía eléctrica</v>
      </c>
      <c r="P399" s="10">
        <v>1501686.61</v>
      </c>
    </row>
    <row r="400" spans="1:16" s="12" customFormat="1" ht="24" x14ac:dyDescent="0.25">
      <c r="B400" s="13" t="s">
        <v>369</v>
      </c>
      <c r="C400" s="19">
        <v>2007</v>
      </c>
      <c r="D400" s="38">
        <v>20330791412</v>
      </c>
      <c r="E400" s="14" t="s">
        <v>48</v>
      </c>
      <c r="F400" s="15" t="s">
        <v>49</v>
      </c>
      <c r="G400" s="16" t="str">
        <f t="shared" ref="G400:G447" si="52">E400&amp;" "&amp;F400</f>
        <v>D Suministro de electricidad, gas, vapor y aire acondicionado</v>
      </c>
      <c r="H400" s="14" t="str">
        <f t="shared" si="48"/>
        <v>35</v>
      </c>
      <c r="I400" s="17" t="s">
        <v>49</v>
      </c>
      <c r="J400" s="17" t="str">
        <f t="shared" si="50"/>
        <v>35 Suministro de electricidad, gas, vapor y aire acondicionado</v>
      </c>
      <c r="K400" s="14" t="str">
        <f t="shared" si="49"/>
        <v>351</v>
      </c>
      <c r="L400" s="15" t="s">
        <v>50</v>
      </c>
      <c r="M400" s="18" t="s">
        <v>51</v>
      </c>
      <c r="N400" s="15" t="s">
        <v>50</v>
      </c>
      <c r="O400" s="16" t="str">
        <f t="shared" si="51"/>
        <v>3510 Generación, transmisión y distribución de energía eléctrica</v>
      </c>
      <c r="P400" s="10">
        <v>329474.53999999998</v>
      </c>
    </row>
    <row r="401" spans="2:16" s="12" customFormat="1" ht="24" x14ac:dyDescent="0.25">
      <c r="B401" s="13" t="s">
        <v>369</v>
      </c>
      <c r="C401" s="19">
        <v>2008</v>
      </c>
      <c r="D401" s="38">
        <v>20330791412</v>
      </c>
      <c r="E401" s="14" t="s">
        <v>48</v>
      </c>
      <c r="F401" s="15" t="s">
        <v>49</v>
      </c>
      <c r="G401" s="16" t="str">
        <f t="shared" si="52"/>
        <v>D Suministro de electricidad, gas, vapor y aire acondicionado</v>
      </c>
      <c r="H401" s="14" t="str">
        <f t="shared" si="48"/>
        <v>35</v>
      </c>
      <c r="I401" s="17" t="s">
        <v>49</v>
      </c>
      <c r="J401" s="17" t="str">
        <f t="shared" si="50"/>
        <v>35 Suministro de electricidad, gas, vapor y aire acondicionado</v>
      </c>
      <c r="K401" s="14" t="str">
        <f t="shared" si="49"/>
        <v>351</v>
      </c>
      <c r="L401" s="15" t="s">
        <v>50</v>
      </c>
      <c r="M401" s="18" t="s">
        <v>51</v>
      </c>
      <c r="N401" s="15" t="s">
        <v>50</v>
      </c>
      <c r="O401" s="16" t="str">
        <f t="shared" si="51"/>
        <v>3510 Generación, transmisión y distribución de energía eléctrica</v>
      </c>
      <c r="P401" s="10">
        <v>11285.59</v>
      </c>
    </row>
    <row r="402" spans="2:16" s="12" customFormat="1" ht="24" x14ac:dyDescent="0.25">
      <c r="B402" s="13" t="s">
        <v>369</v>
      </c>
      <c r="C402" s="19">
        <v>2009</v>
      </c>
      <c r="D402" s="38">
        <v>20330791412</v>
      </c>
      <c r="E402" s="14" t="s">
        <v>48</v>
      </c>
      <c r="F402" s="15" t="s">
        <v>49</v>
      </c>
      <c r="G402" s="16" t="str">
        <f t="shared" si="52"/>
        <v>D Suministro de electricidad, gas, vapor y aire acondicionado</v>
      </c>
      <c r="H402" s="14" t="str">
        <f t="shared" si="48"/>
        <v>35</v>
      </c>
      <c r="I402" s="17" t="s">
        <v>49</v>
      </c>
      <c r="J402" s="17" t="str">
        <f t="shared" si="50"/>
        <v>35 Suministro de electricidad, gas, vapor y aire acondicionado</v>
      </c>
      <c r="K402" s="14" t="str">
        <f t="shared" si="49"/>
        <v>351</v>
      </c>
      <c r="L402" s="15" t="s">
        <v>50</v>
      </c>
      <c r="M402" s="18" t="s">
        <v>51</v>
      </c>
      <c r="N402" s="15" t="s">
        <v>50</v>
      </c>
      <c r="O402" s="16" t="str">
        <f t="shared" si="51"/>
        <v>3510 Generación, transmisión y distribución de energía eléctrica</v>
      </c>
      <c r="P402" s="10">
        <v>11086.12</v>
      </c>
    </row>
    <row r="403" spans="2:16" s="12" customFormat="1" ht="24" x14ac:dyDescent="0.25">
      <c r="B403" s="13" t="s">
        <v>369</v>
      </c>
      <c r="C403" s="19">
        <v>2009</v>
      </c>
      <c r="D403" s="38">
        <v>20330791412</v>
      </c>
      <c r="E403" s="14" t="s">
        <v>48</v>
      </c>
      <c r="F403" s="15" t="s">
        <v>49</v>
      </c>
      <c r="G403" s="16" t="str">
        <f t="shared" si="52"/>
        <v>D Suministro de electricidad, gas, vapor y aire acondicionado</v>
      </c>
      <c r="H403" s="14" t="str">
        <f t="shared" si="48"/>
        <v>35</v>
      </c>
      <c r="I403" s="17" t="s">
        <v>49</v>
      </c>
      <c r="J403" s="17" t="str">
        <f t="shared" si="50"/>
        <v>35 Suministro de electricidad, gas, vapor y aire acondicionado</v>
      </c>
      <c r="K403" s="14" t="str">
        <f t="shared" si="49"/>
        <v>351</v>
      </c>
      <c r="L403" s="15" t="s">
        <v>50</v>
      </c>
      <c r="M403" s="18" t="s">
        <v>51</v>
      </c>
      <c r="N403" s="15" t="s">
        <v>50</v>
      </c>
      <c r="O403" s="16" t="str">
        <f t="shared" si="51"/>
        <v>3510 Generación, transmisión y distribución de energía eléctrica</v>
      </c>
      <c r="P403" s="10">
        <v>10027.93</v>
      </c>
    </row>
    <row r="404" spans="2:16" s="12" customFormat="1" ht="24" x14ac:dyDescent="0.25">
      <c r="B404" s="13" t="s">
        <v>369</v>
      </c>
      <c r="C404" s="19">
        <v>2010</v>
      </c>
      <c r="D404" s="38">
        <v>20330791412</v>
      </c>
      <c r="E404" s="14" t="s">
        <v>48</v>
      </c>
      <c r="F404" s="15" t="s">
        <v>49</v>
      </c>
      <c r="G404" s="16" t="str">
        <f t="shared" si="52"/>
        <v>D Suministro de electricidad, gas, vapor y aire acondicionado</v>
      </c>
      <c r="H404" s="14" t="str">
        <f t="shared" si="48"/>
        <v>35</v>
      </c>
      <c r="I404" s="17" t="s">
        <v>49</v>
      </c>
      <c r="J404" s="17" t="str">
        <f t="shared" si="50"/>
        <v>35 Suministro de electricidad, gas, vapor y aire acondicionado</v>
      </c>
      <c r="K404" s="14" t="str">
        <f t="shared" si="49"/>
        <v>351</v>
      </c>
      <c r="L404" s="15" t="s">
        <v>50</v>
      </c>
      <c r="M404" s="18" t="s">
        <v>51</v>
      </c>
      <c r="N404" s="15" t="s">
        <v>50</v>
      </c>
      <c r="O404" s="16" t="str">
        <f t="shared" si="51"/>
        <v>3510 Generación, transmisión y distribución de energía eléctrica</v>
      </c>
      <c r="P404" s="10">
        <v>115087.79000000001</v>
      </c>
    </row>
    <row r="405" spans="2:16" s="12" customFormat="1" ht="24" x14ac:dyDescent="0.25">
      <c r="B405" s="13" t="s">
        <v>369</v>
      </c>
      <c r="C405" s="19">
        <v>2012</v>
      </c>
      <c r="D405" s="38">
        <v>20330791412</v>
      </c>
      <c r="E405" s="14" t="s">
        <v>48</v>
      </c>
      <c r="F405" s="15" t="s">
        <v>49</v>
      </c>
      <c r="G405" s="16" t="str">
        <f t="shared" si="52"/>
        <v>D Suministro de electricidad, gas, vapor y aire acondicionado</v>
      </c>
      <c r="H405" s="14" t="str">
        <f t="shared" si="48"/>
        <v>35</v>
      </c>
      <c r="I405" s="17" t="s">
        <v>49</v>
      </c>
      <c r="J405" s="17" t="str">
        <f t="shared" si="50"/>
        <v>35 Suministro de electricidad, gas, vapor y aire acondicionado</v>
      </c>
      <c r="K405" s="14" t="str">
        <f t="shared" si="49"/>
        <v>351</v>
      </c>
      <c r="L405" s="15" t="s">
        <v>50</v>
      </c>
      <c r="M405" s="18" t="s">
        <v>51</v>
      </c>
      <c r="N405" s="15" t="s">
        <v>50</v>
      </c>
      <c r="O405" s="16" t="str">
        <f t="shared" si="51"/>
        <v>3510 Generación, transmisión y distribución de energía eléctrica</v>
      </c>
      <c r="P405" s="10">
        <v>34999.22</v>
      </c>
    </row>
    <row r="406" spans="2:16" s="12" customFormat="1" ht="24" x14ac:dyDescent="0.25">
      <c r="B406" s="13" t="s">
        <v>369</v>
      </c>
      <c r="C406" s="19">
        <v>2013</v>
      </c>
      <c r="D406" s="38">
        <v>20330791412</v>
      </c>
      <c r="E406" s="14" t="s">
        <v>48</v>
      </c>
      <c r="F406" s="15" t="s">
        <v>49</v>
      </c>
      <c r="G406" s="16" t="str">
        <f t="shared" si="52"/>
        <v>D Suministro de electricidad, gas, vapor y aire acondicionado</v>
      </c>
      <c r="H406" s="14" t="str">
        <f t="shared" si="48"/>
        <v>35</v>
      </c>
      <c r="I406" s="17" t="s">
        <v>49</v>
      </c>
      <c r="J406" s="17" t="str">
        <f t="shared" si="50"/>
        <v>35 Suministro de electricidad, gas, vapor y aire acondicionado</v>
      </c>
      <c r="K406" s="14" t="str">
        <f t="shared" si="49"/>
        <v>351</v>
      </c>
      <c r="L406" s="15" t="s">
        <v>50</v>
      </c>
      <c r="M406" s="18" t="s">
        <v>51</v>
      </c>
      <c r="N406" s="15" t="s">
        <v>50</v>
      </c>
      <c r="O406" s="16" t="str">
        <f t="shared" si="51"/>
        <v>3510 Generación, transmisión y distribución de energía eléctrica</v>
      </c>
      <c r="P406" s="10">
        <v>162945.21</v>
      </c>
    </row>
    <row r="407" spans="2:16" s="12" customFormat="1" ht="24" x14ac:dyDescent="0.25">
      <c r="B407" s="13" t="s">
        <v>369</v>
      </c>
      <c r="C407" s="19">
        <v>2014</v>
      </c>
      <c r="D407" s="38">
        <v>20330791412</v>
      </c>
      <c r="E407" s="14" t="s">
        <v>48</v>
      </c>
      <c r="F407" s="15" t="s">
        <v>49</v>
      </c>
      <c r="G407" s="16" t="str">
        <f t="shared" si="52"/>
        <v>D Suministro de electricidad, gas, vapor y aire acondicionado</v>
      </c>
      <c r="H407" s="14" t="str">
        <f t="shared" si="48"/>
        <v>35</v>
      </c>
      <c r="I407" s="17" t="s">
        <v>49</v>
      </c>
      <c r="J407" s="17" t="str">
        <f t="shared" si="50"/>
        <v>35 Suministro de electricidad, gas, vapor y aire acondicionado</v>
      </c>
      <c r="K407" s="14" t="str">
        <f t="shared" si="49"/>
        <v>351</v>
      </c>
      <c r="L407" s="15" t="s">
        <v>50</v>
      </c>
      <c r="M407" s="18" t="s">
        <v>51</v>
      </c>
      <c r="N407" s="15" t="s">
        <v>50</v>
      </c>
      <c r="O407" s="16" t="str">
        <f t="shared" si="51"/>
        <v>3510 Generación, transmisión y distribución de energía eléctrica</v>
      </c>
      <c r="P407" s="10">
        <v>225747.1</v>
      </c>
    </row>
    <row r="408" spans="2:16" s="12" customFormat="1" ht="24" x14ac:dyDescent="0.25">
      <c r="B408" s="13" t="s">
        <v>369</v>
      </c>
      <c r="C408" s="19">
        <v>2014</v>
      </c>
      <c r="D408" s="38">
        <v>20330791412</v>
      </c>
      <c r="E408" s="14" t="s">
        <v>48</v>
      </c>
      <c r="F408" s="15" t="s">
        <v>49</v>
      </c>
      <c r="G408" s="16" t="str">
        <f t="shared" si="52"/>
        <v>D Suministro de electricidad, gas, vapor y aire acondicionado</v>
      </c>
      <c r="H408" s="14" t="str">
        <f t="shared" si="48"/>
        <v>35</v>
      </c>
      <c r="I408" s="17" t="s">
        <v>49</v>
      </c>
      <c r="J408" s="17" t="str">
        <f t="shared" si="50"/>
        <v>35 Suministro de electricidad, gas, vapor y aire acondicionado</v>
      </c>
      <c r="K408" s="14" t="str">
        <f t="shared" si="49"/>
        <v>351</v>
      </c>
      <c r="L408" s="15" t="s">
        <v>50</v>
      </c>
      <c r="M408" s="18" t="s">
        <v>51</v>
      </c>
      <c r="N408" s="15" t="s">
        <v>50</v>
      </c>
      <c r="O408" s="16" t="str">
        <f t="shared" si="51"/>
        <v>3510 Generación, transmisión y distribución de energía eléctrica</v>
      </c>
      <c r="P408" s="10">
        <v>1820.55</v>
      </c>
    </row>
    <row r="409" spans="2:16" s="12" customFormat="1" ht="24" x14ac:dyDescent="0.25">
      <c r="B409" s="13" t="s">
        <v>369</v>
      </c>
      <c r="C409" s="19">
        <v>2015</v>
      </c>
      <c r="D409" s="38">
        <v>20330791412</v>
      </c>
      <c r="E409" s="14" t="s">
        <v>48</v>
      </c>
      <c r="F409" s="15" t="s">
        <v>49</v>
      </c>
      <c r="G409" s="16" t="str">
        <f t="shared" si="52"/>
        <v>D Suministro de electricidad, gas, vapor y aire acondicionado</v>
      </c>
      <c r="H409" s="14" t="str">
        <f t="shared" si="48"/>
        <v>35</v>
      </c>
      <c r="I409" s="17" t="s">
        <v>49</v>
      </c>
      <c r="J409" s="17" t="str">
        <f t="shared" si="50"/>
        <v>35 Suministro de electricidad, gas, vapor y aire acondicionado</v>
      </c>
      <c r="K409" s="14" t="str">
        <f t="shared" si="49"/>
        <v>351</v>
      </c>
      <c r="L409" s="15" t="s">
        <v>50</v>
      </c>
      <c r="M409" s="18" t="s">
        <v>51</v>
      </c>
      <c r="N409" s="15" t="s">
        <v>50</v>
      </c>
      <c r="O409" s="16" t="str">
        <f t="shared" si="51"/>
        <v>3510 Generación, transmisión y distribución de energía eléctrica</v>
      </c>
      <c r="P409" s="10">
        <v>186013.22</v>
      </c>
    </row>
    <row r="410" spans="2:16" s="12" customFormat="1" ht="24" x14ac:dyDescent="0.25">
      <c r="B410" s="13" t="s">
        <v>369</v>
      </c>
      <c r="C410" s="19">
        <v>2016</v>
      </c>
      <c r="D410" s="38">
        <v>20330791412</v>
      </c>
      <c r="E410" s="14" t="s">
        <v>48</v>
      </c>
      <c r="F410" s="15" t="s">
        <v>49</v>
      </c>
      <c r="G410" s="16" t="str">
        <f t="shared" si="52"/>
        <v>D Suministro de electricidad, gas, vapor y aire acondicionado</v>
      </c>
      <c r="H410" s="14" t="str">
        <f t="shared" ref="H410:H441" si="53">LEFT(K410,2)</f>
        <v>35</v>
      </c>
      <c r="I410" s="17" t="s">
        <v>49</v>
      </c>
      <c r="J410" s="17" t="str">
        <f t="shared" si="50"/>
        <v>35 Suministro de electricidad, gas, vapor y aire acondicionado</v>
      </c>
      <c r="K410" s="14" t="str">
        <f t="shared" ref="K410:K441" si="54">LEFT(M410,3)</f>
        <v>351</v>
      </c>
      <c r="L410" s="15" t="s">
        <v>50</v>
      </c>
      <c r="M410" s="18" t="s">
        <v>51</v>
      </c>
      <c r="N410" s="15" t="s">
        <v>50</v>
      </c>
      <c r="O410" s="16" t="str">
        <f t="shared" si="51"/>
        <v>3510 Generación, transmisión y distribución de energía eléctrica</v>
      </c>
      <c r="P410" s="10">
        <v>143009.53</v>
      </c>
    </row>
    <row r="411" spans="2:16" s="12" customFormat="1" ht="24" x14ac:dyDescent="0.25">
      <c r="B411" s="13" t="s">
        <v>369</v>
      </c>
      <c r="C411" s="19">
        <v>2017</v>
      </c>
      <c r="D411" s="38">
        <v>20330791412</v>
      </c>
      <c r="E411" s="14" t="s">
        <v>48</v>
      </c>
      <c r="F411" s="15" t="s">
        <v>49</v>
      </c>
      <c r="G411" s="16" t="str">
        <f t="shared" si="52"/>
        <v>D Suministro de electricidad, gas, vapor y aire acondicionado</v>
      </c>
      <c r="H411" s="14" t="str">
        <f t="shared" si="53"/>
        <v>35</v>
      </c>
      <c r="I411" s="17" t="s">
        <v>49</v>
      </c>
      <c r="J411" s="17" t="str">
        <f t="shared" si="50"/>
        <v>35 Suministro de electricidad, gas, vapor y aire acondicionado</v>
      </c>
      <c r="K411" s="14" t="str">
        <f t="shared" si="54"/>
        <v>351</v>
      </c>
      <c r="L411" s="15" t="s">
        <v>50</v>
      </c>
      <c r="M411" s="18" t="s">
        <v>51</v>
      </c>
      <c r="N411" s="15" t="s">
        <v>50</v>
      </c>
      <c r="O411" s="16" t="str">
        <f t="shared" si="51"/>
        <v>3510 Generación, transmisión y distribución de energía eléctrica</v>
      </c>
      <c r="P411" s="10">
        <v>229023.61</v>
      </c>
    </row>
    <row r="412" spans="2:16" s="12" customFormat="1" ht="24" x14ac:dyDescent="0.25">
      <c r="B412" s="13" t="s">
        <v>369</v>
      </c>
      <c r="C412" s="19">
        <v>2018</v>
      </c>
      <c r="D412" s="38">
        <v>20330791412</v>
      </c>
      <c r="E412" s="14" t="s">
        <v>48</v>
      </c>
      <c r="F412" s="15" t="s">
        <v>49</v>
      </c>
      <c r="G412" s="16" t="str">
        <f t="shared" si="52"/>
        <v>D Suministro de electricidad, gas, vapor y aire acondicionado</v>
      </c>
      <c r="H412" s="14" t="str">
        <f t="shared" si="53"/>
        <v>35</v>
      </c>
      <c r="I412" s="17" t="s">
        <v>49</v>
      </c>
      <c r="J412" s="17" t="str">
        <f t="shared" si="50"/>
        <v>35 Suministro de electricidad, gas, vapor y aire acondicionado</v>
      </c>
      <c r="K412" s="14" t="str">
        <f t="shared" si="54"/>
        <v>351</v>
      </c>
      <c r="L412" s="15" t="s">
        <v>50</v>
      </c>
      <c r="M412" s="18" t="s">
        <v>51</v>
      </c>
      <c r="N412" s="15" t="s">
        <v>50</v>
      </c>
      <c r="O412" s="16" t="str">
        <f t="shared" si="51"/>
        <v>3510 Generación, transmisión y distribución de energía eléctrica</v>
      </c>
      <c r="P412" s="10">
        <v>86505.13</v>
      </c>
    </row>
    <row r="413" spans="2:16" s="12" customFormat="1" ht="24" x14ac:dyDescent="0.25">
      <c r="B413" s="13" t="s">
        <v>369</v>
      </c>
      <c r="C413" s="19">
        <v>2019</v>
      </c>
      <c r="D413" s="38">
        <v>20330791412</v>
      </c>
      <c r="E413" s="14" t="s">
        <v>48</v>
      </c>
      <c r="F413" s="15" t="s">
        <v>49</v>
      </c>
      <c r="G413" s="16" t="str">
        <f t="shared" si="52"/>
        <v>D Suministro de electricidad, gas, vapor y aire acondicionado</v>
      </c>
      <c r="H413" s="14" t="str">
        <f t="shared" si="53"/>
        <v>35</v>
      </c>
      <c r="I413" s="17" t="s">
        <v>49</v>
      </c>
      <c r="J413" s="17" t="str">
        <f t="shared" si="50"/>
        <v>35 Suministro de electricidad, gas, vapor y aire acondicionado</v>
      </c>
      <c r="K413" s="14" t="str">
        <f t="shared" si="54"/>
        <v>351</v>
      </c>
      <c r="L413" s="15" t="s">
        <v>50</v>
      </c>
      <c r="M413" s="18" t="s">
        <v>51</v>
      </c>
      <c r="N413" s="15" t="s">
        <v>50</v>
      </c>
      <c r="O413" s="16" t="str">
        <f t="shared" si="51"/>
        <v>3510 Generación, transmisión y distribución de energía eléctrica</v>
      </c>
      <c r="P413" s="10">
        <v>463663.34</v>
      </c>
    </row>
    <row r="414" spans="2:16" s="12" customFormat="1" ht="24" x14ac:dyDescent="0.25">
      <c r="B414" s="13" t="s">
        <v>369</v>
      </c>
      <c r="C414" s="19">
        <v>2020</v>
      </c>
      <c r="D414" s="38">
        <v>20330791412</v>
      </c>
      <c r="E414" s="14" t="s">
        <v>48</v>
      </c>
      <c r="F414" s="15" t="s">
        <v>49</v>
      </c>
      <c r="G414" s="16" t="str">
        <f t="shared" si="52"/>
        <v>D Suministro de electricidad, gas, vapor y aire acondicionado</v>
      </c>
      <c r="H414" s="14" t="str">
        <f t="shared" si="53"/>
        <v>35</v>
      </c>
      <c r="I414" s="17" t="s">
        <v>49</v>
      </c>
      <c r="J414" s="17" t="str">
        <f t="shared" si="50"/>
        <v>35 Suministro de electricidad, gas, vapor y aire acondicionado</v>
      </c>
      <c r="K414" s="14" t="str">
        <f t="shared" si="54"/>
        <v>351</v>
      </c>
      <c r="L414" s="15" t="s">
        <v>50</v>
      </c>
      <c r="M414" s="18" t="s">
        <v>51</v>
      </c>
      <c r="N414" s="15" t="s">
        <v>50</v>
      </c>
      <c r="O414" s="16" t="str">
        <f t="shared" si="51"/>
        <v>3510 Generación, transmisión y distribución de energía eléctrica</v>
      </c>
      <c r="P414" s="10">
        <v>4341.12</v>
      </c>
    </row>
    <row r="415" spans="2:16" s="12" customFormat="1" ht="24" x14ac:dyDescent="0.25">
      <c r="B415" s="13" t="s">
        <v>369</v>
      </c>
      <c r="C415" s="19">
        <v>2021</v>
      </c>
      <c r="D415" s="38">
        <v>20330791412</v>
      </c>
      <c r="E415" s="14" t="s">
        <v>48</v>
      </c>
      <c r="F415" s="15" t="s">
        <v>49</v>
      </c>
      <c r="G415" s="16" t="str">
        <f t="shared" si="52"/>
        <v>D Suministro de electricidad, gas, vapor y aire acondicionado</v>
      </c>
      <c r="H415" s="14" t="str">
        <f t="shared" si="53"/>
        <v>35</v>
      </c>
      <c r="I415" s="17" t="s">
        <v>49</v>
      </c>
      <c r="J415" s="17" t="str">
        <f t="shared" si="50"/>
        <v>35 Suministro de electricidad, gas, vapor y aire acondicionado</v>
      </c>
      <c r="K415" s="14" t="str">
        <f t="shared" si="54"/>
        <v>351</v>
      </c>
      <c r="L415" s="15" t="s">
        <v>50</v>
      </c>
      <c r="M415" s="18" t="s">
        <v>51</v>
      </c>
      <c r="N415" s="15" t="s">
        <v>50</v>
      </c>
      <c r="O415" s="16" t="str">
        <f t="shared" si="51"/>
        <v>3510 Generación, transmisión y distribución de energía eléctrica</v>
      </c>
      <c r="P415" s="10">
        <v>74881.91</v>
      </c>
    </row>
    <row r="416" spans="2:16" s="12" customFormat="1" ht="24" x14ac:dyDescent="0.25">
      <c r="B416" s="13" t="s">
        <v>369</v>
      </c>
      <c r="C416" s="19">
        <v>2022</v>
      </c>
      <c r="D416" s="38">
        <v>20330791412</v>
      </c>
      <c r="E416" s="14" t="s">
        <v>48</v>
      </c>
      <c r="F416" s="15" t="s">
        <v>49</v>
      </c>
      <c r="G416" s="16" t="str">
        <f t="shared" si="52"/>
        <v>D Suministro de electricidad, gas, vapor y aire acondicionado</v>
      </c>
      <c r="H416" s="14" t="str">
        <f t="shared" si="53"/>
        <v>35</v>
      </c>
      <c r="I416" s="17" t="s">
        <v>49</v>
      </c>
      <c r="J416" s="17" t="str">
        <f t="shared" si="50"/>
        <v>35 Suministro de electricidad, gas, vapor y aire acondicionado</v>
      </c>
      <c r="K416" s="14" t="str">
        <f t="shared" si="54"/>
        <v>351</v>
      </c>
      <c r="L416" s="15" t="s">
        <v>50</v>
      </c>
      <c r="M416" s="18" t="s">
        <v>51</v>
      </c>
      <c r="N416" s="15" t="s">
        <v>50</v>
      </c>
      <c r="O416" s="16" t="str">
        <f t="shared" si="51"/>
        <v>3510 Generación, transmisión y distribución de energía eléctrica</v>
      </c>
      <c r="P416" s="10">
        <v>26313.64</v>
      </c>
    </row>
    <row r="417" spans="1:16" s="12" customFormat="1" ht="24" x14ac:dyDescent="0.25">
      <c r="B417" s="13" t="s">
        <v>369</v>
      </c>
      <c r="C417" s="19">
        <v>2023</v>
      </c>
      <c r="D417" s="38">
        <v>20330791412</v>
      </c>
      <c r="E417" s="14" t="s">
        <v>48</v>
      </c>
      <c r="F417" s="15" t="s">
        <v>49</v>
      </c>
      <c r="G417" s="16" t="str">
        <f t="shared" si="52"/>
        <v>D Suministro de electricidad, gas, vapor y aire acondicionado</v>
      </c>
      <c r="H417" s="14" t="str">
        <f t="shared" si="53"/>
        <v>35</v>
      </c>
      <c r="I417" s="17" t="s">
        <v>49</v>
      </c>
      <c r="J417" s="17" t="str">
        <f t="shared" si="50"/>
        <v>35 Suministro de electricidad, gas, vapor y aire acondicionado</v>
      </c>
      <c r="K417" s="14" t="str">
        <f t="shared" si="54"/>
        <v>351</v>
      </c>
      <c r="L417" s="15" t="s">
        <v>50</v>
      </c>
      <c r="M417" s="18" t="s">
        <v>51</v>
      </c>
      <c r="N417" s="15" t="s">
        <v>50</v>
      </c>
      <c r="O417" s="16" t="str">
        <f t="shared" si="51"/>
        <v>3510 Generación, transmisión y distribución de energía eléctrica</v>
      </c>
      <c r="P417" s="10">
        <v>378566.62</v>
      </c>
    </row>
    <row r="418" spans="1:16" s="35" customFormat="1" ht="24" x14ac:dyDescent="0.25">
      <c r="A418" s="12"/>
      <c r="B418" s="13" t="s">
        <v>369</v>
      </c>
      <c r="C418" s="19">
        <v>2024</v>
      </c>
      <c r="D418" s="38">
        <v>20330791412</v>
      </c>
      <c r="E418" s="14" t="s">
        <v>48</v>
      </c>
      <c r="F418" s="15" t="s">
        <v>49</v>
      </c>
      <c r="G418" s="16" t="str">
        <f t="shared" si="52"/>
        <v>D Suministro de electricidad, gas, vapor y aire acondicionado</v>
      </c>
      <c r="H418" s="14" t="str">
        <f t="shared" si="53"/>
        <v>35</v>
      </c>
      <c r="I418" s="17" t="s">
        <v>49</v>
      </c>
      <c r="J418" s="17" t="str">
        <f t="shared" si="50"/>
        <v>35 Suministro de electricidad, gas, vapor y aire acondicionado</v>
      </c>
      <c r="K418" s="14" t="str">
        <f t="shared" si="54"/>
        <v>351</v>
      </c>
      <c r="L418" s="15" t="s">
        <v>50</v>
      </c>
      <c r="M418" s="18" t="s">
        <v>51</v>
      </c>
      <c r="N418" s="15" t="s">
        <v>50</v>
      </c>
      <c r="O418" s="16" t="str">
        <f t="shared" si="51"/>
        <v>3510 Generación, transmisión y distribución de energía eléctrica</v>
      </c>
      <c r="P418" s="10">
        <v>115311.86</v>
      </c>
    </row>
    <row r="419" spans="1:16" s="12" customFormat="1" ht="24" x14ac:dyDescent="0.25">
      <c r="A419" s="12">
        <v>8</v>
      </c>
      <c r="B419" s="13" t="s">
        <v>369</v>
      </c>
      <c r="C419" s="19">
        <v>2025</v>
      </c>
      <c r="D419" s="38">
        <v>20330791412</v>
      </c>
      <c r="E419" s="14" t="s">
        <v>48</v>
      </c>
      <c r="F419" s="15" t="s">
        <v>49</v>
      </c>
      <c r="G419" s="16" t="str">
        <f t="shared" si="52"/>
        <v>D Suministro de electricidad, gas, vapor y aire acondicionado</v>
      </c>
      <c r="H419" s="14" t="str">
        <f t="shared" si="53"/>
        <v>35</v>
      </c>
      <c r="I419" s="17" t="s">
        <v>49</v>
      </c>
      <c r="J419" s="17" t="str">
        <f t="shared" si="50"/>
        <v>35 Suministro de electricidad, gas, vapor y aire acondicionado</v>
      </c>
      <c r="K419" s="14" t="str">
        <f t="shared" si="54"/>
        <v>351</v>
      </c>
      <c r="L419" s="15" t="s">
        <v>50</v>
      </c>
      <c r="M419" s="18" t="s">
        <v>51</v>
      </c>
      <c r="N419" s="15" t="s">
        <v>50</v>
      </c>
      <c r="O419" s="16" t="str">
        <f t="shared" si="51"/>
        <v>3510 Generación, transmisión y distribución de energía eléctrica</v>
      </c>
      <c r="P419" s="10">
        <v>19394.439999999999</v>
      </c>
    </row>
    <row r="420" spans="1:16" s="12" customFormat="1" ht="24" x14ac:dyDescent="0.25">
      <c r="B420" s="13" t="s">
        <v>404</v>
      </c>
      <c r="C420" s="19">
        <v>2007</v>
      </c>
      <c r="D420" s="38">
        <v>20332907990</v>
      </c>
      <c r="E420" s="14" t="s">
        <v>16</v>
      </c>
      <c r="F420" s="15" t="s">
        <v>17</v>
      </c>
      <c r="G420" s="16" t="str">
        <f t="shared" si="52"/>
        <v>B Explotación de minas y canteras</v>
      </c>
      <c r="H420" s="14" t="str">
        <f t="shared" si="53"/>
        <v>07</v>
      </c>
      <c r="I420" s="17" t="s">
        <v>18</v>
      </c>
      <c r="J420" s="17" t="str">
        <f t="shared" si="50"/>
        <v>07 Extracción de minerales metalíferos</v>
      </c>
      <c r="K420" s="14" t="str">
        <f t="shared" si="54"/>
        <v>072</v>
      </c>
      <c r="L420" s="15" t="s">
        <v>19</v>
      </c>
      <c r="M420" s="18" t="s">
        <v>20</v>
      </c>
      <c r="N420" s="15" t="s">
        <v>21</v>
      </c>
      <c r="O420" s="16" t="str">
        <f t="shared" si="51"/>
        <v>0729 Extracción de otros minerales metalíferos no ferrosos</v>
      </c>
      <c r="P420" s="10">
        <v>2097540.85</v>
      </c>
    </row>
    <row r="421" spans="1:16" s="12" customFormat="1" ht="24" x14ac:dyDescent="0.25">
      <c r="B421" s="13" t="s">
        <v>404</v>
      </c>
      <c r="C421" s="19">
        <v>2008</v>
      </c>
      <c r="D421" s="38">
        <v>20332907990</v>
      </c>
      <c r="E421" s="14" t="s">
        <v>16</v>
      </c>
      <c r="F421" s="15" t="s">
        <v>17</v>
      </c>
      <c r="G421" s="16" t="str">
        <f t="shared" si="52"/>
        <v>B Explotación de minas y canteras</v>
      </c>
      <c r="H421" s="14" t="str">
        <f t="shared" si="53"/>
        <v>07</v>
      </c>
      <c r="I421" s="17" t="s">
        <v>18</v>
      </c>
      <c r="J421" s="17" t="str">
        <f t="shared" si="50"/>
        <v>07 Extracción de minerales metalíferos</v>
      </c>
      <c r="K421" s="14" t="str">
        <f t="shared" si="54"/>
        <v>072</v>
      </c>
      <c r="L421" s="15" t="s">
        <v>19</v>
      </c>
      <c r="M421" s="18" t="s">
        <v>20</v>
      </c>
      <c r="N421" s="15" t="s">
        <v>21</v>
      </c>
      <c r="O421" s="16" t="str">
        <f t="shared" si="51"/>
        <v>0729 Extracción de otros minerales metalíferos no ferrosos</v>
      </c>
      <c r="P421" s="10">
        <v>7590000</v>
      </c>
    </row>
    <row r="422" spans="1:16" s="12" customFormat="1" ht="24" x14ac:dyDescent="0.25">
      <c r="B422" s="13" t="s">
        <v>132</v>
      </c>
      <c r="C422" s="19">
        <v>2009</v>
      </c>
      <c r="D422" s="38">
        <v>20333363900</v>
      </c>
      <c r="E422" s="14" t="s">
        <v>48</v>
      </c>
      <c r="F422" s="15" t="s">
        <v>49</v>
      </c>
      <c r="G422" s="16" t="str">
        <f t="shared" si="52"/>
        <v>D Suministro de electricidad, gas, vapor y aire acondicionado</v>
      </c>
      <c r="H422" s="14" t="str">
        <f t="shared" si="53"/>
        <v>35</v>
      </c>
      <c r="I422" s="17" t="s">
        <v>49</v>
      </c>
      <c r="J422" s="17" t="str">
        <f t="shared" si="50"/>
        <v>35 Suministro de electricidad, gas, vapor y aire acondicionado</v>
      </c>
      <c r="K422" s="14" t="str">
        <f t="shared" si="54"/>
        <v>351</v>
      </c>
      <c r="L422" s="15" t="s">
        <v>50</v>
      </c>
      <c r="M422" s="18" t="s">
        <v>51</v>
      </c>
      <c r="N422" s="15" t="s">
        <v>50</v>
      </c>
      <c r="O422" s="16" t="str">
        <f t="shared" si="51"/>
        <v>3510 Generación, transmisión y distribución de energía eléctrica</v>
      </c>
      <c r="P422" s="10">
        <v>40211.000000000007</v>
      </c>
    </row>
    <row r="423" spans="1:16" s="12" customFormat="1" ht="24" x14ac:dyDescent="0.25">
      <c r="B423" s="31" t="s">
        <v>77</v>
      </c>
      <c r="C423" s="32">
        <v>2006</v>
      </c>
      <c r="D423" s="37">
        <v>20334403328</v>
      </c>
      <c r="E423" s="33" t="s">
        <v>48</v>
      </c>
      <c r="F423" s="15" t="s">
        <v>49</v>
      </c>
      <c r="G423" s="16" t="str">
        <f t="shared" si="52"/>
        <v>D Suministro de electricidad, gas, vapor y aire acondicionado</v>
      </c>
      <c r="H423" s="14" t="str">
        <f t="shared" si="53"/>
        <v>35</v>
      </c>
      <c r="I423" s="17" t="s">
        <v>49</v>
      </c>
      <c r="J423" s="17" t="str">
        <f t="shared" si="50"/>
        <v>35 Suministro de electricidad, gas, vapor y aire acondicionado</v>
      </c>
      <c r="K423" s="14" t="str">
        <f t="shared" si="54"/>
        <v>351</v>
      </c>
      <c r="L423" s="15" t="s">
        <v>50</v>
      </c>
      <c r="M423" s="18" t="s">
        <v>51</v>
      </c>
      <c r="N423" s="15" t="s">
        <v>50</v>
      </c>
      <c r="O423" s="16" t="str">
        <f t="shared" si="51"/>
        <v>3510 Generación, transmisión y distribución de energía eléctrica</v>
      </c>
      <c r="P423" s="34">
        <v>398941.24</v>
      </c>
    </row>
    <row r="424" spans="1:16" s="12" customFormat="1" ht="24" x14ac:dyDescent="0.25">
      <c r="B424" s="13" t="s">
        <v>77</v>
      </c>
      <c r="C424" s="19">
        <v>2007</v>
      </c>
      <c r="D424" s="38">
        <v>20334403328</v>
      </c>
      <c r="E424" s="14" t="s">
        <v>48</v>
      </c>
      <c r="F424" s="15" t="s">
        <v>49</v>
      </c>
      <c r="G424" s="16" t="str">
        <f t="shared" si="52"/>
        <v>D Suministro de electricidad, gas, vapor y aire acondicionado</v>
      </c>
      <c r="H424" s="14" t="str">
        <f t="shared" si="53"/>
        <v>35</v>
      </c>
      <c r="I424" s="17" t="s">
        <v>49</v>
      </c>
      <c r="J424" s="17" t="str">
        <f t="shared" si="50"/>
        <v>35 Suministro de electricidad, gas, vapor y aire acondicionado</v>
      </c>
      <c r="K424" s="14" t="str">
        <f t="shared" si="54"/>
        <v>351</v>
      </c>
      <c r="L424" s="15" t="s">
        <v>50</v>
      </c>
      <c r="M424" s="18" t="s">
        <v>51</v>
      </c>
      <c r="N424" s="15" t="s">
        <v>50</v>
      </c>
      <c r="O424" s="16" t="str">
        <f t="shared" si="51"/>
        <v>3510 Generación, transmisión y distribución de energía eléctrica</v>
      </c>
      <c r="P424" s="10">
        <v>257429.03</v>
      </c>
    </row>
    <row r="425" spans="1:16" s="12" customFormat="1" ht="36" x14ac:dyDescent="0.25">
      <c r="B425" s="13" t="s">
        <v>206</v>
      </c>
      <c r="C425" s="19">
        <v>2015</v>
      </c>
      <c r="D425" s="38">
        <v>20336966711</v>
      </c>
      <c r="E425" s="14" t="s">
        <v>42</v>
      </c>
      <c r="F425" s="15" t="s">
        <v>43</v>
      </c>
      <c r="G425" s="16" t="str">
        <f t="shared" si="52"/>
        <v>G Comercio al por mayor y al por menor; reparación de vehículos automotores y motocicletas</v>
      </c>
      <c r="H425" s="14" t="str">
        <f t="shared" si="53"/>
        <v>46</v>
      </c>
      <c r="I425" s="17" t="s">
        <v>44</v>
      </c>
      <c r="J425" s="17" t="str">
        <f t="shared" si="50"/>
        <v>46 Comercio al por mayor, excepto el de vehículos automotores y motocicletas</v>
      </c>
      <c r="K425" s="14" t="str">
        <f t="shared" si="54"/>
        <v>464</v>
      </c>
      <c r="L425" s="15" t="s">
        <v>207</v>
      </c>
      <c r="M425" s="18" t="s">
        <v>208</v>
      </c>
      <c r="N425" s="15" t="s">
        <v>209</v>
      </c>
      <c r="O425" s="16" t="str">
        <f t="shared" si="51"/>
        <v>4641 Venta al por mayor de productos textiles, prendas de vestir y calzado</v>
      </c>
      <c r="P425" s="10">
        <v>35867.440000000002</v>
      </c>
    </row>
    <row r="426" spans="1:16" s="12" customFormat="1" ht="36" x14ac:dyDescent="0.25">
      <c r="B426" s="13" t="s">
        <v>89</v>
      </c>
      <c r="C426" s="19">
        <v>2006</v>
      </c>
      <c r="D426" s="38">
        <v>20338646802</v>
      </c>
      <c r="E426" s="14" t="s">
        <v>23</v>
      </c>
      <c r="F426" s="15" t="s">
        <v>24</v>
      </c>
      <c r="G426" s="16" t="str">
        <f t="shared" si="52"/>
        <v>C Industria manufacturera</v>
      </c>
      <c r="H426" s="14" t="str">
        <f t="shared" si="53"/>
        <v>25</v>
      </c>
      <c r="I426" s="17" t="s">
        <v>90</v>
      </c>
      <c r="J426" s="17" t="str">
        <f t="shared" si="50"/>
        <v>25 Fabricación de productos elaborados de metal, excepto maquinaria y equipo</v>
      </c>
      <c r="K426" s="14" t="str">
        <f t="shared" si="54"/>
        <v>259</v>
      </c>
      <c r="L426" s="15" t="s">
        <v>91</v>
      </c>
      <c r="M426" s="18" t="s">
        <v>92</v>
      </c>
      <c r="N426" s="15" t="s">
        <v>93</v>
      </c>
      <c r="O426" s="16" t="str">
        <f t="shared" si="51"/>
        <v>2591 Forja, prensado, estampado y laminado de metales; pulvimetalurgia</v>
      </c>
      <c r="P426" s="10">
        <v>22172.19</v>
      </c>
    </row>
    <row r="427" spans="1:16" s="12" customFormat="1" x14ac:dyDescent="0.25">
      <c r="B427" s="22" t="s">
        <v>390</v>
      </c>
      <c r="C427" s="19">
        <v>2007</v>
      </c>
      <c r="D427" s="38">
        <v>20356476434</v>
      </c>
      <c r="E427" s="14" t="s">
        <v>16</v>
      </c>
      <c r="F427" s="15" t="s">
        <v>17</v>
      </c>
      <c r="G427" s="16" t="str">
        <f t="shared" si="52"/>
        <v>B Explotación de minas y canteras</v>
      </c>
      <c r="H427" s="14" t="str">
        <f t="shared" si="53"/>
        <v>06</v>
      </c>
      <c r="I427" s="17" t="s">
        <v>68</v>
      </c>
      <c r="J427" s="17" t="str">
        <f t="shared" si="50"/>
        <v>06 Extracción de petróleo crudo y gas natural</v>
      </c>
      <c r="K427" s="14" t="str">
        <f t="shared" si="54"/>
        <v>061</v>
      </c>
      <c r="L427" s="15" t="s">
        <v>69</v>
      </c>
      <c r="M427" s="18" t="s">
        <v>70</v>
      </c>
      <c r="N427" s="15" t="s">
        <v>69</v>
      </c>
      <c r="O427" s="16" t="str">
        <f t="shared" si="51"/>
        <v>0610 Extracción de petróleo crudo</v>
      </c>
      <c r="P427" s="10">
        <v>230526.07999999999</v>
      </c>
    </row>
    <row r="428" spans="1:16" s="12" customFormat="1" x14ac:dyDescent="0.25">
      <c r="B428" s="22" t="s">
        <v>390</v>
      </c>
      <c r="C428" s="19">
        <v>2008</v>
      </c>
      <c r="D428" s="38">
        <v>20356476434</v>
      </c>
      <c r="E428" s="14" t="s">
        <v>16</v>
      </c>
      <c r="F428" s="15" t="s">
        <v>17</v>
      </c>
      <c r="G428" s="16" t="str">
        <f t="shared" si="52"/>
        <v>B Explotación de minas y canteras</v>
      </c>
      <c r="H428" s="14" t="str">
        <f t="shared" si="53"/>
        <v>06</v>
      </c>
      <c r="I428" s="17" t="s">
        <v>68</v>
      </c>
      <c r="J428" s="17" t="str">
        <f t="shared" si="50"/>
        <v>06 Extracción de petróleo crudo y gas natural</v>
      </c>
      <c r="K428" s="14" t="str">
        <f t="shared" si="54"/>
        <v>061</v>
      </c>
      <c r="L428" s="15" t="s">
        <v>69</v>
      </c>
      <c r="M428" s="18" t="s">
        <v>70</v>
      </c>
      <c r="N428" s="15" t="s">
        <v>69</v>
      </c>
      <c r="O428" s="16" t="str">
        <f t="shared" si="51"/>
        <v>0610 Extracción de petróleo crudo</v>
      </c>
      <c r="P428" s="10">
        <v>65678.94</v>
      </c>
    </row>
    <row r="429" spans="1:16" s="12" customFormat="1" x14ac:dyDescent="0.25">
      <c r="B429" s="22" t="s">
        <v>390</v>
      </c>
      <c r="C429" s="19">
        <v>2009</v>
      </c>
      <c r="D429" s="38">
        <v>20356476434</v>
      </c>
      <c r="E429" s="14" t="s">
        <v>16</v>
      </c>
      <c r="F429" s="15" t="s">
        <v>17</v>
      </c>
      <c r="G429" s="16" t="str">
        <f t="shared" si="52"/>
        <v>B Explotación de minas y canteras</v>
      </c>
      <c r="H429" s="14" t="str">
        <f t="shared" si="53"/>
        <v>06</v>
      </c>
      <c r="I429" s="17" t="s">
        <v>68</v>
      </c>
      <c r="J429" s="17" t="str">
        <f t="shared" si="50"/>
        <v>06 Extracción de petróleo crudo y gas natural</v>
      </c>
      <c r="K429" s="14" t="str">
        <f t="shared" si="54"/>
        <v>061</v>
      </c>
      <c r="L429" s="15" t="s">
        <v>69</v>
      </c>
      <c r="M429" s="18" t="s">
        <v>70</v>
      </c>
      <c r="N429" s="15" t="s">
        <v>69</v>
      </c>
      <c r="O429" s="16" t="str">
        <f t="shared" si="51"/>
        <v>0610 Extracción de petróleo crudo</v>
      </c>
      <c r="P429" s="10">
        <v>862988.35</v>
      </c>
    </row>
    <row r="430" spans="1:16" s="12" customFormat="1" x14ac:dyDescent="0.25">
      <c r="B430" s="22" t="s">
        <v>390</v>
      </c>
      <c r="C430" s="19">
        <v>2011</v>
      </c>
      <c r="D430" s="38">
        <v>20356476434</v>
      </c>
      <c r="E430" s="14" t="s">
        <v>16</v>
      </c>
      <c r="F430" s="15" t="s">
        <v>17</v>
      </c>
      <c r="G430" s="16" t="str">
        <f t="shared" si="52"/>
        <v>B Explotación de minas y canteras</v>
      </c>
      <c r="H430" s="14" t="str">
        <f t="shared" si="53"/>
        <v>06</v>
      </c>
      <c r="I430" s="17" t="s">
        <v>68</v>
      </c>
      <c r="J430" s="17" t="str">
        <f t="shared" si="50"/>
        <v>06 Extracción de petróleo crudo y gas natural</v>
      </c>
      <c r="K430" s="14" t="str">
        <f t="shared" si="54"/>
        <v>061</v>
      </c>
      <c r="L430" s="15" t="s">
        <v>69</v>
      </c>
      <c r="M430" s="18" t="s">
        <v>70</v>
      </c>
      <c r="N430" s="15" t="s">
        <v>69</v>
      </c>
      <c r="O430" s="16" t="str">
        <f t="shared" si="51"/>
        <v>0610 Extracción de petróleo crudo</v>
      </c>
      <c r="P430" s="10">
        <v>4678.96</v>
      </c>
    </row>
    <row r="431" spans="1:16" s="12" customFormat="1" x14ac:dyDescent="0.25">
      <c r="B431" s="22" t="s">
        <v>390</v>
      </c>
      <c r="C431" s="19">
        <v>2022</v>
      </c>
      <c r="D431" s="38">
        <v>20356476434</v>
      </c>
      <c r="E431" s="14" t="s">
        <v>16</v>
      </c>
      <c r="F431" s="15" t="s">
        <v>17</v>
      </c>
      <c r="G431" s="16" t="str">
        <f t="shared" si="52"/>
        <v>B Explotación de minas y canteras</v>
      </c>
      <c r="H431" s="14" t="str">
        <f t="shared" si="53"/>
        <v>06</v>
      </c>
      <c r="I431" s="17" t="s">
        <v>68</v>
      </c>
      <c r="J431" s="17" t="str">
        <f t="shared" si="50"/>
        <v>06 Extracción de petróleo crudo y gas natural</v>
      </c>
      <c r="K431" s="14" t="str">
        <f t="shared" si="54"/>
        <v>061</v>
      </c>
      <c r="L431" s="15" t="s">
        <v>68</v>
      </c>
      <c r="M431" s="18" t="s">
        <v>70</v>
      </c>
      <c r="N431" s="15" t="s">
        <v>301</v>
      </c>
      <c r="O431" s="16" t="str">
        <f t="shared" si="51"/>
        <v>0610 Extracción de Petroleo</v>
      </c>
      <c r="P431" s="10">
        <v>1374281.08</v>
      </c>
    </row>
    <row r="432" spans="1:16" s="12" customFormat="1" x14ac:dyDescent="0.25">
      <c r="B432" s="22" t="s">
        <v>390</v>
      </c>
      <c r="C432" s="19">
        <v>2023</v>
      </c>
      <c r="D432" s="38">
        <v>20356476434</v>
      </c>
      <c r="E432" s="14" t="s">
        <v>16</v>
      </c>
      <c r="F432" s="15" t="s">
        <v>17</v>
      </c>
      <c r="G432" s="16" t="str">
        <f t="shared" si="52"/>
        <v>B Explotación de minas y canteras</v>
      </c>
      <c r="H432" s="14" t="str">
        <f t="shared" si="53"/>
        <v>06</v>
      </c>
      <c r="I432" s="17" t="s">
        <v>68</v>
      </c>
      <c r="J432" s="17" t="str">
        <f t="shared" si="50"/>
        <v>06 Extracción de petróleo crudo y gas natural</v>
      </c>
      <c r="K432" s="14" t="str">
        <f t="shared" si="54"/>
        <v>061</v>
      </c>
      <c r="L432" s="15" t="s">
        <v>68</v>
      </c>
      <c r="M432" s="18" t="s">
        <v>70</v>
      </c>
      <c r="N432" s="15" t="s">
        <v>301</v>
      </c>
      <c r="O432" s="16" t="str">
        <f t="shared" si="51"/>
        <v>0610 Extracción de Petroleo</v>
      </c>
      <c r="P432" s="10">
        <v>18695227.609999999</v>
      </c>
    </row>
    <row r="433" spans="1:16" s="12" customFormat="1" x14ac:dyDescent="0.25">
      <c r="B433" s="22" t="s">
        <v>390</v>
      </c>
      <c r="C433" s="19">
        <v>2024</v>
      </c>
      <c r="D433" s="38">
        <v>20356476434</v>
      </c>
      <c r="E433" s="14" t="s">
        <v>16</v>
      </c>
      <c r="F433" s="15" t="s">
        <v>17</v>
      </c>
      <c r="G433" s="16" t="str">
        <f t="shared" si="52"/>
        <v>B Explotación de minas y canteras</v>
      </c>
      <c r="H433" s="14" t="str">
        <f t="shared" si="53"/>
        <v>06</v>
      </c>
      <c r="I433" s="17" t="s">
        <v>68</v>
      </c>
      <c r="J433" s="17" t="str">
        <f t="shared" si="50"/>
        <v>06 Extracción de petróleo crudo y gas natural</v>
      </c>
      <c r="K433" s="14" t="str">
        <f t="shared" si="54"/>
        <v>061</v>
      </c>
      <c r="L433" s="15" t="s">
        <v>68</v>
      </c>
      <c r="M433" s="18" t="s">
        <v>70</v>
      </c>
      <c r="N433" s="15" t="s">
        <v>301</v>
      </c>
      <c r="O433" s="16" t="str">
        <f t="shared" si="51"/>
        <v>0610 Extracción de Petroleo</v>
      </c>
      <c r="P433" s="10">
        <v>1597905.72</v>
      </c>
    </row>
    <row r="434" spans="1:16" s="12" customFormat="1" x14ac:dyDescent="0.25">
      <c r="A434" s="12">
        <v>28</v>
      </c>
      <c r="B434" s="22" t="s">
        <v>390</v>
      </c>
      <c r="C434" s="19">
        <v>2025</v>
      </c>
      <c r="D434" s="38">
        <v>20356476434</v>
      </c>
      <c r="E434" s="14" t="s">
        <v>16</v>
      </c>
      <c r="F434" s="15" t="s">
        <v>17</v>
      </c>
      <c r="G434" s="16" t="str">
        <f t="shared" si="52"/>
        <v>B Explotación de minas y canteras</v>
      </c>
      <c r="H434" s="14" t="str">
        <f t="shared" si="53"/>
        <v>06</v>
      </c>
      <c r="I434" s="17" t="s">
        <v>68</v>
      </c>
      <c r="J434" s="17" t="str">
        <f t="shared" si="50"/>
        <v>06 Extracción de petróleo crudo y gas natural</v>
      </c>
      <c r="K434" s="14" t="str">
        <f t="shared" si="54"/>
        <v>061</v>
      </c>
      <c r="L434" s="15" t="s">
        <v>68</v>
      </c>
      <c r="M434" s="18" t="s">
        <v>70</v>
      </c>
      <c r="N434" s="15" t="s">
        <v>301</v>
      </c>
      <c r="O434" s="16" t="str">
        <f t="shared" si="51"/>
        <v>0610 Extracción de Petroleo</v>
      </c>
      <c r="P434" s="10">
        <v>826225.29</v>
      </c>
    </row>
    <row r="435" spans="1:16" s="12" customFormat="1" ht="36" x14ac:dyDescent="0.25">
      <c r="B435" s="13" t="s">
        <v>41</v>
      </c>
      <c r="C435" s="19">
        <v>2000</v>
      </c>
      <c r="D435" s="38">
        <v>20378813761</v>
      </c>
      <c r="E435" s="14" t="s">
        <v>42</v>
      </c>
      <c r="F435" s="15" t="s">
        <v>43</v>
      </c>
      <c r="G435" s="16" t="str">
        <f t="shared" si="52"/>
        <v>G Comercio al por mayor y al por menor; reparación de vehículos automotores y motocicletas</v>
      </c>
      <c r="H435" s="14" t="str">
        <f t="shared" si="53"/>
        <v>46</v>
      </c>
      <c r="I435" s="17" t="s">
        <v>44</v>
      </c>
      <c r="J435" s="17" t="str">
        <f t="shared" si="50"/>
        <v>46 Comercio al por mayor, excepto el de vehículos automotores y motocicletas</v>
      </c>
      <c r="K435" s="14" t="str">
        <f t="shared" si="54"/>
        <v>469</v>
      </c>
      <c r="L435" s="15" t="s">
        <v>45</v>
      </c>
      <c r="M435" s="18" t="s">
        <v>46</v>
      </c>
      <c r="N435" s="15" t="s">
        <v>45</v>
      </c>
      <c r="O435" s="16" t="str">
        <f t="shared" si="51"/>
        <v>4690 Venta al por mayor no especializada</v>
      </c>
      <c r="P435" s="10">
        <v>188484.03</v>
      </c>
    </row>
    <row r="436" spans="1:16" s="12" customFormat="1" ht="36" x14ac:dyDescent="0.25">
      <c r="B436" s="13" t="s">
        <v>314</v>
      </c>
      <c r="C436" s="19">
        <v>2022</v>
      </c>
      <c r="D436" s="38">
        <v>20381034071</v>
      </c>
      <c r="E436" s="14" t="s">
        <v>42</v>
      </c>
      <c r="F436" s="15" t="s">
        <v>43</v>
      </c>
      <c r="G436" s="16" t="str">
        <f t="shared" si="52"/>
        <v>G Comercio al por mayor y al por menor; reparación de vehículos automotores y motocicletas</v>
      </c>
      <c r="H436" s="14" t="str">
        <f t="shared" si="53"/>
        <v>46</v>
      </c>
      <c r="I436" s="17" t="s">
        <v>44</v>
      </c>
      <c r="J436" s="17" t="str">
        <f t="shared" si="50"/>
        <v>46 Comercio al por mayor, excepto el de vehículos automotores y motocicletas</v>
      </c>
      <c r="K436" s="14" t="str">
        <f t="shared" si="54"/>
        <v>466</v>
      </c>
      <c r="L436" s="15" t="s">
        <v>59</v>
      </c>
      <c r="M436" s="18" t="s">
        <v>60</v>
      </c>
      <c r="N436" s="15" t="s">
        <v>61</v>
      </c>
      <c r="O436" s="16" t="str">
        <f t="shared" si="51"/>
        <v>4663 Venta al por mayor de materiales de construcción, artículos de ferretería y equipo y materiales de fontanería y calefacción</v>
      </c>
      <c r="P436" s="10">
        <v>64266.47</v>
      </c>
    </row>
    <row r="437" spans="1:16" s="12" customFormat="1" ht="36" x14ac:dyDescent="0.25">
      <c r="B437" s="13" t="s">
        <v>296</v>
      </c>
      <c r="C437" s="19">
        <v>2022</v>
      </c>
      <c r="D437" s="38">
        <v>20388738228</v>
      </c>
      <c r="E437" s="14" t="s">
        <v>42</v>
      </c>
      <c r="F437" s="15" t="s">
        <v>43</v>
      </c>
      <c r="G437" s="16" t="str">
        <f t="shared" si="52"/>
        <v>G Comercio al por mayor y al por menor; reparación de vehículos automotores y motocicletas</v>
      </c>
      <c r="H437" s="14" t="str">
        <f t="shared" si="53"/>
        <v>46</v>
      </c>
      <c r="I437" s="17" t="s">
        <v>44</v>
      </c>
      <c r="J437" s="17" t="str">
        <f t="shared" si="50"/>
        <v>46 Comercio al por mayor, excepto el de vehículos automotores y motocicletas</v>
      </c>
      <c r="K437" s="14" t="str">
        <f t="shared" si="54"/>
        <v>464</v>
      </c>
      <c r="L437" s="15" t="s">
        <v>207</v>
      </c>
      <c r="M437" s="18" t="s">
        <v>208</v>
      </c>
      <c r="N437" s="15" t="s">
        <v>209</v>
      </c>
      <c r="O437" s="16" t="str">
        <f t="shared" si="51"/>
        <v>4641 Venta al por mayor de productos textiles, prendas de vestir y calzado</v>
      </c>
      <c r="P437" s="10">
        <v>36127.46</v>
      </c>
    </row>
    <row r="438" spans="1:16" s="12" customFormat="1" ht="36" x14ac:dyDescent="0.25">
      <c r="B438" s="13" t="s">
        <v>184</v>
      </c>
      <c r="C438" s="19">
        <v>2014</v>
      </c>
      <c r="D438" s="38">
        <v>20391166855</v>
      </c>
      <c r="E438" s="14" t="s">
        <v>42</v>
      </c>
      <c r="F438" s="15" t="s">
        <v>43</v>
      </c>
      <c r="G438" s="16" t="str">
        <f t="shared" si="52"/>
        <v>G Comercio al por mayor y al por menor; reparación de vehículos automotores y motocicletas</v>
      </c>
      <c r="H438" s="14" t="str">
        <f t="shared" si="53"/>
        <v>46</v>
      </c>
      <c r="I438" s="17" t="s">
        <v>44</v>
      </c>
      <c r="J438" s="17" t="str">
        <f t="shared" si="50"/>
        <v>46 Comercio al por mayor, excepto el de vehículos automotores y motocicletas</v>
      </c>
      <c r="K438" s="14" t="str">
        <f t="shared" si="54"/>
        <v>465</v>
      </c>
      <c r="L438" s="15" t="s">
        <v>185</v>
      </c>
      <c r="M438" s="18" t="s">
        <v>186</v>
      </c>
      <c r="N438" s="15" t="s">
        <v>187</v>
      </c>
      <c r="O438" s="16" t="str">
        <f t="shared" si="51"/>
        <v>4659 Venta al por mayor de otros tipos de maquinaria y equipo</v>
      </c>
      <c r="P438" s="10">
        <v>39075.79</v>
      </c>
    </row>
    <row r="439" spans="1:16" s="12" customFormat="1" ht="36" x14ac:dyDescent="0.25">
      <c r="B439" s="13" t="s">
        <v>184</v>
      </c>
      <c r="C439" s="19">
        <v>2015</v>
      </c>
      <c r="D439" s="38">
        <v>20391166855</v>
      </c>
      <c r="E439" s="14" t="s">
        <v>42</v>
      </c>
      <c r="F439" s="15" t="s">
        <v>43</v>
      </c>
      <c r="G439" s="16" t="str">
        <f t="shared" si="52"/>
        <v>G Comercio al por mayor y al por menor; reparación de vehículos automotores y motocicletas</v>
      </c>
      <c r="H439" s="14" t="str">
        <f t="shared" si="53"/>
        <v>46</v>
      </c>
      <c r="I439" s="17" t="s">
        <v>44</v>
      </c>
      <c r="J439" s="17" t="str">
        <f t="shared" si="50"/>
        <v>46 Comercio al por mayor, excepto el de vehículos automotores y motocicletas</v>
      </c>
      <c r="K439" s="14" t="str">
        <f t="shared" si="54"/>
        <v>465</v>
      </c>
      <c r="L439" s="15" t="s">
        <v>185</v>
      </c>
      <c r="M439" s="18" t="s">
        <v>186</v>
      </c>
      <c r="N439" s="15" t="s">
        <v>187</v>
      </c>
      <c r="O439" s="16" t="str">
        <f t="shared" si="51"/>
        <v>4659 Venta al por mayor de otros tipos de maquinaria y equipo</v>
      </c>
      <c r="P439" s="10">
        <v>20145.989999999998</v>
      </c>
    </row>
    <row r="440" spans="1:16" s="12" customFormat="1" ht="36" x14ac:dyDescent="0.25">
      <c r="B440" s="13" t="s">
        <v>322</v>
      </c>
      <c r="C440" s="19">
        <v>2023</v>
      </c>
      <c r="D440" s="38">
        <v>20392664310</v>
      </c>
      <c r="E440" s="14" t="s">
        <v>42</v>
      </c>
      <c r="F440" s="15" t="s">
        <v>43</v>
      </c>
      <c r="G440" s="16" t="str">
        <f t="shared" si="52"/>
        <v>G Comercio al por mayor y al por menor; reparación de vehículos automotores y motocicletas</v>
      </c>
      <c r="H440" s="14" t="str">
        <f t="shared" si="53"/>
        <v>46</v>
      </c>
      <c r="I440" s="17" t="s">
        <v>44</v>
      </c>
      <c r="J440" s="17" t="str">
        <f t="shared" si="50"/>
        <v>46 Comercio al por mayor, excepto el de vehículos automotores y motocicletas</v>
      </c>
      <c r="K440" s="14" t="str">
        <f t="shared" si="54"/>
        <v>462</v>
      </c>
      <c r="L440" s="15" t="s">
        <v>126</v>
      </c>
      <c r="M440" s="18" t="s">
        <v>127</v>
      </c>
      <c r="N440" s="15" t="s">
        <v>126</v>
      </c>
      <c r="O440" s="16" t="str">
        <f t="shared" si="51"/>
        <v>4620 Ventas al por mayor de materias primas agropecuarias y animales vivos</v>
      </c>
      <c r="P440" s="10">
        <v>179670.2</v>
      </c>
    </row>
    <row r="441" spans="1:16" s="12" customFormat="1" ht="24" x14ac:dyDescent="0.25">
      <c r="B441" s="13" t="s">
        <v>265</v>
      </c>
      <c r="C441" s="19">
        <v>2019</v>
      </c>
      <c r="D441" s="38">
        <v>20392776975</v>
      </c>
      <c r="E441" s="14" t="s">
        <v>16</v>
      </c>
      <c r="F441" s="15" t="s">
        <v>17</v>
      </c>
      <c r="G441" s="16" t="str">
        <f t="shared" si="52"/>
        <v>B Explotación de minas y canteras</v>
      </c>
      <c r="H441" s="14" t="str">
        <f t="shared" si="53"/>
        <v>07</v>
      </c>
      <c r="I441" s="17" t="s">
        <v>18</v>
      </c>
      <c r="J441" s="17" t="str">
        <f t="shared" si="50"/>
        <v>07 Extracción de minerales metalíferos</v>
      </c>
      <c r="K441" s="14" t="str">
        <f t="shared" si="54"/>
        <v>072</v>
      </c>
      <c r="L441" s="15" t="s">
        <v>19</v>
      </c>
      <c r="M441" s="18" t="s">
        <v>20</v>
      </c>
      <c r="N441" s="15" t="s">
        <v>21</v>
      </c>
      <c r="O441" s="16" t="str">
        <f t="shared" si="51"/>
        <v>0729 Extracción de otros minerales metalíferos no ferrosos</v>
      </c>
      <c r="P441" s="10">
        <v>39699.949999999997</v>
      </c>
    </row>
    <row r="442" spans="1:16" s="12" customFormat="1" ht="24" x14ac:dyDescent="0.25">
      <c r="B442" s="13" t="s">
        <v>265</v>
      </c>
      <c r="C442" s="19">
        <v>2020</v>
      </c>
      <c r="D442" s="38">
        <v>20392776975</v>
      </c>
      <c r="E442" s="14" t="s">
        <v>16</v>
      </c>
      <c r="F442" s="15" t="s">
        <v>17</v>
      </c>
      <c r="G442" s="16" t="str">
        <f t="shared" si="52"/>
        <v>B Explotación de minas y canteras</v>
      </c>
      <c r="H442" s="14" t="str">
        <f t="shared" ref="H442:H447" si="55">LEFT(K442,2)</f>
        <v>07</v>
      </c>
      <c r="I442" s="17" t="s">
        <v>18</v>
      </c>
      <c r="J442" s="17" t="str">
        <f t="shared" si="50"/>
        <v>07 Extracción de minerales metalíferos</v>
      </c>
      <c r="K442" s="14" t="str">
        <f t="shared" ref="K442:K447" si="56">LEFT(M442,3)</f>
        <v>072</v>
      </c>
      <c r="L442" s="15" t="s">
        <v>19</v>
      </c>
      <c r="M442" s="18" t="s">
        <v>20</v>
      </c>
      <c r="N442" s="15" t="s">
        <v>21</v>
      </c>
      <c r="O442" s="16" t="str">
        <f t="shared" si="51"/>
        <v>0729 Extracción de otros minerales metalíferos no ferrosos</v>
      </c>
      <c r="P442" s="10">
        <v>4487.55</v>
      </c>
    </row>
    <row r="443" spans="1:16" s="12" customFormat="1" ht="24" x14ac:dyDescent="0.25">
      <c r="B443" s="13" t="s">
        <v>265</v>
      </c>
      <c r="C443" s="19">
        <v>2021</v>
      </c>
      <c r="D443" s="38">
        <v>20392776975</v>
      </c>
      <c r="E443" s="14" t="s">
        <v>16</v>
      </c>
      <c r="F443" s="15" t="s">
        <v>17</v>
      </c>
      <c r="G443" s="16" t="str">
        <f t="shared" si="52"/>
        <v>B Explotación de minas y canteras</v>
      </c>
      <c r="H443" s="14" t="str">
        <f t="shared" si="55"/>
        <v>07</v>
      </c>
      <c r="I443" s="17" t="s">
        <v>18</v>
      </c>
      <c r="J443" s="17" t="str">
        <f t="shared" si="50"/>
        <v>07 Extracción de minerales metalíferos</v>
      </c>
      <c r="K443" s="14" t="str">
        <f t="shared" si="56"/>
        <v>072</v>
      </c>
      <c r="L443" s="15" t="s">
        <v>19</v>
      </c>
      <c r="M443" s="18" t="s">
        <v>20</v>
      </c>
      <c r="N443" s="15" t="s">
        <v>21</v>
      </c>
      <c r="O443" s="16" t="str">
        <f t="shared" si="51"/>
        <v>0729 Extracción de otros minerales metalíferos no ferrosos</v>
      </c>
      <c r="P443" s="10">
        <v>19273.5</v>
      </c>
    </row>
    <row r="444" spans="1:16" s="12" customFormat="1" ht="24" x14ac:dyDescent="0.25">
      <c r="B444" s="13" t="s">
        <v>265</v>
      </c>
      <c r="C444" s="19">
        <v>2022</v>
      </c>
      <c r="D444" s="38">
        <v>20392776975</v>
      </c>
      <c r="E444" s="14" t="s">
        <v>16</v>
      </c>
      <c r="F444" s="15" t="s">
        <v>17</v>
      </c>
      <c r="G444" s="16" t="str">
        <f t="shared" si="52"/>
        <v>B Explotación de minas y canteras</v>
      </c>
      <c r="H444" s="14" t="str">
        <f t="shared" si="55"/>
        <v>07</v>
      </c>
      <c r="I444" s="17" t="s">
        <v>18</v>
      </c>
      <c r="J444" s="17" t="str">
        <f t="shared" si="50"/>
        <v>07 Extracción de minerales metalíferos</v>
      </c>
      <c r="K444" s="14" t="str">
        <f t="shared" si="56"/>
        <v>072</v>
      </c>
      <c r="L444" s="15" t="s">
        <v>19</v>
      </c>
      <c r="M444" s="18" t="s">
        <v>20</v>
      </c>
      <c r="N444" s="15" t="s">
        <v>21</v>
      </c>
      <c r="O444" s="16" t="str">
        <f t="shared" si="51"/>
        <v>0729 Extracción de otros minerales metalíferos no ferrosos</v>
      </c>
      <c r="P444" s="10">
        <v>10259395.619999999</v>
      </c>
    </row>
    <row r="445" spans="1:16" s="12" customFormat="1" ht="24" x14ac:dyDescent="0.25">
      <c r="B445" s="13" t="s">
        <v>265</v>
      </c>
      <c r="C445" s="19">
        <v>2023</v>
      </c>
      <c r="D445" s="38">
        <v>20392776975</v>
      </c>
      <c r="E445" s="14" t="s">
        <v>16</v>
      </c>
      <c r="F445" s="15" t="s">
        <v>17</v>
      </c>
      <c r="G445" s="16" t="str">
        <f t="shared" si="52"/>
        <v>B Explotación de minas y canteras</v>
      </c>
      <c r="H445" s="14" t="str">
        <f t="shared" si="55"/>
        <v>07</v>
      </c>
      <c r="I445" s="17" t="s">
        <v>18</v>
      </c>
      <c r="J445" s="17" t="str">
        <f t="shared" si="50"/>
        <v>07 Extracción de minerales metalíferos</v>
      </c>
      <c r="K445" s="14" t="str">
        <f t="shared" si="56"/>
        <v>072</v>
      </c>
      <c r="L445" s="15" t="s">
        <v>19</v>
      </c>
      <c r="M445" s="18" t="s">
        <v>20</v>
      </c>
      <c r="N445" s="15" t="s">
        <v>21</v>
      </c>
      <c r="O445" s="16" t="str">
        <f t="shared" si="51"/>
        <v>0729 Extracción de otros minerales metalíferos no ferrosos</v>
      </c>
      <c r="P445" s="10">
        <v>10353975.17</v>
      </c>
    </row>
    <row r="446" spans="1:16" s="12" customFormat="1" ht="24" x14ac:dyDescent="0.25">
      <c r="B446" s="13" t="s">
        <v>265</v>
      </c>
      <c r="C446" s="19">
        <v>2024</v>
      </c>
      <c r="D446" s="38">
        <v>20392776975</v>
      </c>
      <c r="E446" s="14" t="s">
        <v>16</v>
      </c>
      <c r="F446" s="15" t="s">
        <v>17</v>
      </c>
      <c r="G446" s="16" t="str">
        <f t="shared" si="52"/>
        <v>B Explotación de minas y canteras</v>
      </c>
      <c r="H446" s="14" t="str">
        <f t="shared" si="55"/>
        <v>07</v>
      </c>
      <c r="I446" s="17" t="s">
        <v>18</v>
      </c>
      <c r="J446" s="17" t="str">
        <f t="shared" si="50"/>
        <v>07 Extracción de minerales metalíferos</v>
      </c>
      <c r="K446" s="14" t="str">
        <f t="shared" si="56"/>
        <v>072</v>
      </c>
      <c r="L446" s="15" t="s">
        <v>19</v>
      </c>
      <c r="M446" s="18" t="s">
        <v>20</v>
      </c>
      <c r="N446" s="15" t="s">
        <v>21</v>
      </c>
      <c r="O446" s="16" t="str">
        <f t="shared" si="51"/>
        <v>0729 Extracción de otros minerales metalíferos no ferrosos</v>
      </c>
      <c r="P446" s="10">
        <v>11056451.289999999</v>
      </c>
    </row>
    <row r="447" spans="1:16" s="12" customFormat="1" ht="24" x14ac:dyDescent="0.25">
      <c r="A447" s="12">
        <v>6</v>
      </c>
      <c r="B447" s="13" t="s">
        <v>265</v>
      </c>
      <c r="C447" s="19">
        <v>2025</v>
      </c>
      <c r="D447" s="38">
        <v>20392776975</v>
      </c>
      <c r="E447" s="14" t="s">
        <v>16</v>
      </c>
      <c r="F447" s="15" t="s">
        <v>17</v>
      </c>
      <c r="G447" s="16" t="str">
        <f t="shared" si="52"/>
        <v>B Explotación de minas y canteras</v>
      </c>
      <c r="H447" s="14" t="str">
        <f t="shared" si="55"/>
        <v>07</v>
      </c>
      <c r="I447" s="17" t="s">
        <v>18</v>
      </c>
      <c r="J447" s="17" t="str">
        <f t="shared" si="50"/>
        <v>07 Extracción de minerales metalíferos</v>
      </c>
      <c r="K447" s="14" t="str">
        <f t="shared" si="56"/>
        <v>072</v>
      </c>
      <c r="L447" s="15" t="s">
        <v>19</v>
      </c>
      <c r="M447" s="18" t="s">
        <v>20</v>
      </c>
      <c r="N447" s="15" t="s">
        <v>21</v>
      </c>
      <c r="O447" s="16" t="str">
        <f t="shared" si="51"/>
        <v>0729 Extracción de otros minerales metalíferos no ferrosos</v>
      </c>
      <c r="P447" s="10">
        <v>11540606.949999999</v>
      </c>
    </row>
    <row r="448" spans="1:16" s="12" customFormat="1" x14ac:dyDescent="0.25">
      <c r="B448" s="13" t="s">
        <v>331</v>
      </c>
      <c r="C448" s="19">
        <v>2023</v>
      </c>
      <c r="D448" s="38">
        <v>20393341786</v>
      </c>
      <c r="E448" s="14" t="s">
        <v>196</v>
      </c>
      <c r="F448" s="15" t="s">
        <v>332</v>
      </c>
      <c r="G448" s="16" t="s">
        <v>333</v>
      </c>
      <c r="H448" s="14" t="s">
        <v>334</v>
      </c>
      <c r="I448" s="17" t="s">
        <v>335</v>
      </c>
      <c r="J448" s="17" t="s">
        <v>336</v>
      </c>
      <c r="K448" s="14" t="s">
        <v>334</v>
      </c>
      <c r="L448" s="15" t="s">
        <v>335</v>
      </c>
      <c r="M448" s="18" t="s">
        <v>337</v>
      </c>
      <c r="N448" s="15" t="s">
        <v>335</v>
      </c>
      <c r="O448" s="16" t="str">
        <f t="shared" si="51"/>
        <v>0210 Silvicultura y otras actividades forestales</v>
      </c>
      <c r="P448" s="10">
        <v>247905.47</v>
      </c>
    </row>
    <row r="449" spans="1:16" s="12" customFormat="1" x14ac:dyDescent="0.25">
      <c r="B449" s="13" t="s">
        <v>305</v>
      </c>
      <c r="C449" s="19">
        <v>2022</v>
      </c>
      <c r="D449" s="38">
        <v>20402885549</v>
      </c>
      <c r="E449" s="14" t="s">
        <v>23</v>
      </c>
      <c r="F449" s="15" t="s">
        <v>24</v>
      </c>
      <c r="G449" s="16" t="str">
        <f t="shared" ref="G449:G485" si="57">E449&amp;" "&amp;F449</f>
        <v>C Industria manufacturera</v>
      </c>
      <c r="H449" s="14">
        <v>24</v>
      </c>
      <c r="I449" s="17" t="s">
        <v>229</v>
      </c>
      <c r="J449" s="17" t="str">
        <f t="shared" ref="J449:J484" si="58">H449&amp;" "&amp;I449</f>
        <v>24 Fabricación de metales comunes</v>
      </c>
      <c r="K449" s="14">
        <v>241</v>
      </c>
      <c r="L449" s="15" t="s">
        <v>306</v>
      </c>
      <c r="M449" s="18">
        <v>2511</v>
      </c>
      <c r="N449" s="15" t="s">
        <v>307</v>
      </c>
      <c r="O449" s="16" t="str">
        <f t="shared" si="51"/>
        <v>2511 Fabricación de Productos Metálicos</v>
      </c>
      <c r="P449" s="10">
        <v>24428.58</v>
      </c>
    </row>
    <row r="450" spans="1:16" s="12" customFormat="1" ht="24" x14ac:dyDescent="0.25">
      <c r="B450" s="13" t="s">
        <v>354</v>
      </c>
      <c r="C450" s="19">
        <v>2024</v>
      </c>
      <c r="D450" s="38">
        <v>20406339361</v>
      </c>
      <c r="E450" s="14" t="s">
        <v>16</v>
      </c>
      <c r="F450" s="15" t="s">
        <v>17</v>
      </c>
      <c r="G450" s="16" t="str">
        <f t="shared" si="57"/>
        <v>B Explotación de minas y canteras</v>
      </c>
      <c r="H450" s="14" t="str">
        <f>LEFT(K450,2)</f>
        <v>07</v>
      </c>
      <c r="I450" s="17" t="s">
        <v>18</v>
      </c>
      <c r="J450" s="17" t="str">
        <f t="shared" si="58"/>
        <v>07 Extracción de minerales metalíferos</v>
      </c>
      <c r="K450" s="14" t="str">
        <f>LEFT(M450,3)</f>
        <v>072</v>
      </c>
      <c r="L450" s="15" t="s">
        <v>19</v>
      </c>
      <c r="M450" s="18" t="s">
        <v>20</v>
      </c>
      <c r="N450" s="15" t="s">
        <v>21</v>
      </c>
      <c r="O450" s="16" t="str">
        <f t="shared" ref="O450:O484" si="59">M450&amp;" "&amp;N450</f>
        <v>0729 Extracción de otros minerales metalíferos no ferrosos</v>
      </c>
      <c r="P450" s="10">
        <v>33162.730000000003</v>
      </c>
    </row>
    <row r="451" spans="1:16" s="12" customFormat="1" ht="24" x14ac:dyDescent="0.25">
      <c r="A451" s="12">
        <v>38</v>
      </c>
      <c r="B451" s="13" t="s">
        <v>354</v>
      </c>
      <c r="C451" s="19">
        <v>2025</v>
      </c>
      <c r="D451" s="38">
        <v>20406339361</v>
      </c>
      <c r="E451" s="14" t="s">
        <v>16</v>
      </c>
      <c r="F451" s="15" t="s">
        <v>17</v>
      </c>
      <c r="G451" s="16" t="str">
        <f t="shared" si="57"/>
        <v>B Explotación de minas y canteras</v>
      </c>
      <c r="H451" s="14" t="str">
        <f>LEFT(K451,2)</f>
        <v>07</v>
      </c>
      <c r="I451" s="17" t="s">
        <v>18</v>
      </c>
      <c r="J451" s="17" t="str">
        <f t="shared" si="58"/>
        <v>07 Extracción de minerales metalíferos</v>
      </c>
      <c r="K451" s="14" t="str">
        <f>LEFT(M451,3)</f>
        <v>072</v>
      </c>
      <c r="L451" s="15" t="s">
        <v>19</v>
      </c>
      <c r="M451" s="18" t="s">
        <v>20</v>
      </c>
      <c r="N451" s="15" t="s">
        <v>21</v>
      </c>
      <c r="O451" s="16" t="str">
        <f t="shared" si="59"/>
        <v>0729 Extracción de otros minerales metalíferos no ferrosos</v>
      </c>
      <c r="P451" s="10">
        <v>152169.93</v>
      </c>
    </row>
    <row r="452" spans="1:16" s="12" customFormat="1" x14ac:dyDescent="0.25">
      <c r="B452" s="13" t="s">
        <v>81</v>
      </c>
      <c r="C452" s="19">
        <v>2006</v>
      </c>
      <c r="D452" s="38">
        <v>20414548491</v>
      </c>
      <c r="E452" s="14" t="s">
        <v>23</v>
      </c>
      <c r="F452" s="15" t="s">
        <v>24</v>
      </c>
      <c r="G452" s="16" t="str">
        <f t="shared" si="57"/>
        <v>C Industria manufacturera</v>
      </c>
      <c r="H452" s="14" t="str">
        <f>LEFT(K452,2)</f>
        <v>22</v>
      </c>
      <c r="I452" s="17" t="s">
        <v>82</v>
      </c>
      <c r="J452" s="17" t="str">
        <f t="shared" si="58"/>
        <v>22 Fabricación de productos de plásticos y caucho</v>
      </c>
      <c r="K452" s="14" t="str">
        <f>LEFT(M452,3)</f>
        <v>222</v>
      </c>
      <c r="L452" s="15" t="s">
        <v>83</v>
      </c>
      <c r="M452" s="18" t="s">
        <v>84</v>
      </c>
      <c r="N452" s="15" t="s">
        <v>83</v>
      </c>
      <c r="O452" s="16" t="str">
        <f t="shared" si="59"/>
        <v>2220 Fabricación de productos de plástico</v>
      </c>
      <c r="P452" s="10">
        <v>54774.13</v>
      </c>
    </row>
    <row r="453" spans="1:16" s="12" customFormat="1" x14ac:dyDescent="0.25">
      <c r="B453" s="13" t="s">
        <v>81</v>
      </c>
      <c r="C453" s="19">
        <v>2008</v>
      </c>
      <c r="D453" s="38">
        <v>20414548491</v>
      </c>
      <c r="E453" s="14" t="s">
        <v>23</v>
      </c>
      <c r="F453" s="15" t="s">
        <v>24</v>
      </c>
      <c r="G453" s="16" t="str">
        <f t="shared" si="57"/>
        <v>C Industria manufacturera</v>
      </c>
      <c r="H453" s="14" t="str">
        <f>LEFT(K453,2)</f>
        <v>22</v>
      </c>
      <c r="I453" s="17" t="s">
        <v>82</v>
      </c>
      <c r="J453" s="17" t="str">
        <f t="shared" si="58"/>
        <v>22 Fabricación de productos de plásticos y caucho</v>
      </c>
      <c r="K453" s="14" t="str">
        <f>LEFT(M453,3)</f>
        <v>222</v>
      </c>
      <c r="L453" s="15" t="s">
        <v>83</v>
      </c>
      <c r="M453" s="18" t="s">
        <v>84</v>
      </c>
      <c r="N453" s="15" t="s">
        <v>83</v>
      </c>
      <c r="O453" s="16" t="str">
        <f t="shared" si="59"/>
        <v>2220 Fabricación de productos de plástico</v>
      </c>
      <c r="P453" s="10">
        <v>4061.98</v>
      </c>
    </row>
    <row r="454" spans="1:16" s="12" customFormat="1" ht="36" x14ac:dyDescent="0.25">
      <c r="B454" s="13" t="s">
        <v>147</v>
      </c>
      <c r="C454" s="19">
        <v>2010</v>
      </c>
      <c r="D454" s="38">
        <v>20414671773</v>
      </c>
      <c r="E454" s="14" t="s">
        <v>148</v>
      </c>
      <c r="F454" s="15" t="s">
        <v>149</v>
      </c>
      <c r="G454" s="16" t="str">
        <f t="shared" si="57"/>
        <v>K Actividades financieras y de seguros</v>
      </c>
      <c r="H454" s="14" t="str">
        <f>LEFT(K454,2)</f>
        <v>64</v>
      </c>
      <c r="I454" s="17" t="s">
        <v>150</v>
      </c>
      <c r="J454" s="17" t="str">
        <f t="shared" si="58"/>
        <v>64 Actividades de servicios financieros, excepto las de seguros y fondos de pensiones</v>
      </c>
      <c r="K454" s="14" t="str">
        <f>LEFT(M454,3)</f>
        <v>649</v>
      </c>
      <c r="L454" s="15" t="s">
        <v>151</v>
      </c>
      <c r="M454" s="18" t="s">
        <v>152</v>
      </c>
      <c r="N454" s="15" t="s">
        <v>153</v>
      </c>
      <c r="O454" s="16" t="str">
        <f t="shared" si="59"/>
        <v>6499 Otras actividades de servicios financieros, excepto las de seguros y fondos de pensiones, n.c.p</v>
      </c>
      <c r="P454" s="10">
        <v>13838.5</v>
      </c>
    </row>
    <row r="455" spans="1:16" s="12" customFormat="1" x14ac:dyDescent="0.25">
      <c r="B455" s="13" t="s">
        <v>32</v>
      </c>
      <c r="C455" s="19">
        <v>1999</v>
      </c>
      <c r="D455" s="38">
        <v>20415932376</v>
      </c>
      <c r="E455" s="14" t="s">
        <v>23</v>
      </c>
      <c r="F455" s="15" t="s">
        <v>24</v>
      </c>
      <c r="G455" s="16" t="str">
        <f t="shared" si="57"/>
        <v>C Industria manufacturera</v>
      </c>
      <c r="H455" s="14">
        <v>19</v>
      </c>
      <c r="I455" s="17" t="s">
        <v>33</v>
      </c>
      <c r="J455" s="17" t="str">
        <f t="shared" si="58"/>
        <v>19 Actividades de Consultoria en Gestion</v>
      </c>
      <c r="K455" s="14" t="s">
        <v>30</v>
      </c>
      <c r="L455" s="15" t="s">
        <v>33</v>
      </c>
      <c r="M455" s="18" t="s">
        <v>34</v>
      </c>
      <c r="N455" s="15" t="s">
        <v>33</v>
      </c>
      <c r="O455" s="16" t="str">
        <f t="shared" si="59"/>
        <v>7020 Actividades de Consultoria en Gestion</v>
      </c>
      <c r="P455" s="10">
        <v>8452.4599999999991</v>
      </c>
    </row>
    <row r="456" spans="1:16" s="12" customFormat="1" x14ac:dyDescent="0.25">
      <c r="B456" s="13" t="s">
        <v>327</v>
      </c>
      <c r="C456" s="19">
        <v>2023</v>
      </c>
      <c r="D456" s="38">
        <v>20428698569</v>
      </c>
      <c r="E456" s="14" t="s">
        <v>95</v>
      </c>
      <c r="F456" s="15" t="s">
        <v>96</v>
      </c>
      <c r="G456" s="16" t="str">
        <f t="shared" si="57"/>
        <v>J Información y comunicaciones</v>
      </c>
      <c r="H456" s="14" t="str">
        <f t="shared" ref="H456:H466" si="60">LEFT(K456,2)</f>
        <v>61</v>
      </c>
      <c r="I456" s="17" t="s">
        <v>97</v>
      </c>
      <c r="J456" s="17" t="str">
        <f t="shared" si="58"/>
        <v>61 Telecomunicaciones</v>
      </c>
      <c r="K456" s="14" t="str">
        <f t="shared" ref="K456:K466" si="61">LEFT(M456,3)</f>
        <v>619</v>
      </c>
      <c r="L456" s="15" t="s">
        <v>98</v>
      </c>
      <c r="M456" s="18" t="s">
        <v>99</v>
      </c>
      <c r="N456" s="15" t="s">
        <v>98</v>
      </c>
      <c r="O456" s="16" t="str">
        <f t="shared" si="59"/>
        <v>6190 Otras actividades de telecomunicaciones</v>
      </c>
      <c r="P456" s="10">
        <v>10120000</v>
      </c>
    </row>
    <row r="457" spans="1:16" s="12" customFormat="1" ht="36" x14ac:dyDescent="0.25">
      <c r="B457" s="13" t="s">
        <v>233</v>
      </c>
      <c r="C457" s="19">
        <v>2016</v>
      </c>
      <c r="D457" s="38">
        <v>20430500521</v>
      </c>
      <c r="E457" s="14" t="s">
        <v>42</v>
      </c>
      <c r="F457" s="15" t="s">
        <v>43</v>
      </c>
      <c r="G457" s="16" t="str">
        <f t="shared" si="57"/>
        <v>G Comercio al por mayor y al por menor; reparación de vehículos automotores y motocicletas</v>
      </c>
      <c r="H457" s="14" t="str">
        <f t="shared" si="60"/>
        <v>45</v>
      </c>
      <c r="I457" s="17" t="s">
        <v>135</v>
      </c>
      <c r="J457" s="17" t="str">
        <f t="shared" si="58"/>
        <v>45 Comercio al por mayor y al por menor y reparación de vehículos automotores y motocicletas</v>
      </c>
      <c r="K457" s="14" t="str">
        <f t="shared" si="61"/>
        <v>451</v>
      </c>
      <c r="L457" s="15" t="s">
        <v>136</v>
      </c>
      <c r="M457" s="18" t="s">
        <v>137</v>
      </c>
      <c r="N457" s="15" t="s">
        <v>136</v>
      </c>
      <c r="O457" s="16" t="str">
        <f t="shared" si="59"/>
        <v>4510 Venta de vehículos automotores</v>
      </c>
      <c r="P457" s="10">
        <v>350.01</v>
      </c>
    </row>
    <row r="458" spans="1:16" s="12" customFormat="1" ht="24" x14ac:dyDescent="0.25">
      <c r="B458" s="13" t="s">
        <v>216</v>
      </c>
      <c r="C458" s="19">
        <v>2016</v>
      </c>
      <c r="D458" s="38">
        <v>20447844835</v>
      </c>
      <c r="E458" s="14" t="s">
        <v>16</v>
      </c>
      <c r="F458" s="15" t="s">
        <v>17</v>
      </c>
      <c r="G458" s="16" t="str">
        <f t="shared" si="57"/>
        <v>B Explotación de minas y canteras</v>
      </c>
      <c r="H458" s="14" t="str">
        <f t="shared" si="60"/>
        <v>08</v>
      </c>
      <c r="I458" s="17" t="s">
        <v>85</v>
      </c>
      <c r="J458" s="17" t="str">
        <f t="shared" si="58"/>
        <v>08 Explotación de otras minas y canteras</v>
      </c>
      <c r="K458" s="14" t="str">
        <f t="shared" si="61"/>
        <v>089</v>
      </c>
      <c r="L458" s="15" t="s">
        <v>86</v>
      </c>
      <c r="M458" s="18" t="s">
        <v>87</v>
      </c>
      <c r="N458" s="15" t="s">
        <v>88</v>
      </c>
      <c r="O458" s="16" t="str">
        <f t="shared" si="59"/>
        <v>0899 Explotación de otras mineras y canteras n.c.p</v>
      </c>
      <c r="P458" s="10">
        <v>4451339.5199999996</v>
      </c>
    </row>
    <row r="459" spans="1:16" s="12" customFormat="1" ht="24" x14ac:dyDescent="0.25">
      <c r="B459" s="13" t="s">
        <v>216</v>
      </c>
      <c r="C459" s="19">
        <v>2016</v>
      </c>
      <c r="D459" s="38">
        <v>20447844835</v>
      </c>
      <c r="E459" s="14" t="s">
        <v>16</v>
      </c>
      <c r="F459" s="15" t="s">
        <v>17</v>
      </c>
      <c r="G459" s="16" t="str">
        <f t="shared" si="57"/>
        <v>B Explotación de minas y canteras</v>
      </c>
      <c r="H459" s="14" t="str">
        <f t="shared" si="60"/>
        <v>08</v>
      </c>
      <c r="I459" s="17" t="s">
        <v>85</v>
      </c>
      <c r="J459" s="17" t="str">
        <f t="shared" si="58"/>
        <v>08 Explotación de otras minas y canteras</v>
      </c>
      <c r="K459" s="14" t="str">
        <f t="shared" si="61"/>
        <v>089</v>
      </c>
      <c r="L459" s="15" t="s">
        <v>86</v>
      </c>
      <c r="M459" s="18" t="s">
        <v>87</v>
      </c>
      <c r="N459" s="15" t="s">
        <v>88</v>
      </c>
      <c r="O459" s="16" t="str">
        <f t="shared" si="59"/>
        <v>0899 Explotación de otras mineras y canteras n.c.p</v>
      </c>
      <c r="P459" s="10">
        <v>951381.33000000007</v>
      </c>
    </row>
    <row r="460" spans="1:16" s="12" customFormat="1" ht="24" x14ac:dyDescent="0.25">
      <c r="B460" s="13" t="s">
        <v>216</v>
      </c>
      <c r="C460" s="19">
        <v>2020</v>
      </c>
      <c r="D460" s="38">
        <v>20447844835</v>
      </c>
      <c r="E460" s="14" t="s">
        <v>16</v>
      </c>
      <c r="F460" s="15" t="s">
        <v>17</v>
      </c>
      <c r="G460" s="16" t="str">
        <f t="shared" si="57"/>
        <v>B Explotación de minas y canteras</v>
      </c>
      <c r="H460" s="14" t="str">
        <f t="shared" si="60"/>
        <v>08</v>
      </c>
      <c r="I460" s="17" t="s">
        <v>85</v>
      </c>
      <c r="J460" s="17" t="str">
        <f t="shared" si="58"/>
        <v>08 Explotación de otras minas y canteras</v>
      </c>
      <c r="K460" s="14" t="str">
        <f t="shared" si="61"/>
        <v>089</v>
      </c>
      <c r="L460" s="15" t="s">
        <v>86</v>
      </c>
      <c r="M460" s="18" t="s">
        <v>87</v>
      </c>
      <c r="N460" s="15" t="s">
        <v>88</v>
      </c>
      <c r="O460" s="16" t="str">
        <f t="shared" si="59"/>
        <v>0899 Explotación de otras mineras y canteras n.c.p</v>
      </c>
      <c r="P460" s="10">
        <v>408675</v>
      </c>
    </row>
    <row r="461" spans="1:16" s="12" customFormat="1" ht="24" x14ac:dyDescent="0.25">
      <c r="B461" s="13" t="s">
        <v>216</v>
      </c>
      <c r="C461" s="19">
        <v>2021</v>
      </c>
      <c r="D461" s="38">
        <v>20447844835</v>
      </c>
      <c r="E461" s="14" t="s">
        <v>16</v>
      </c>
      <c r="F461" s="15" t="s">
        <v>17</v>
      </c>
      <c r="G461" s="16" t="str">
        <f t="shared" si="57"/>
        <v>B Explotación de minas y canteras</v>
      </c>
      <c r="H461" s="14" t="str">
        <f t="shared" si="60"/>
        <v>08</v>
      </c>
      <c r="I461" s="17" t="s">
        <v>85</v>
      </c>
      <c r="J461" s="17" t="str">
        <f t="shared" si="58"/>
        <v>08 Explotación de otras minas y canteras</v>
      </c>
      <c r="K461" s="14" t="str">
        <f t="shared" si="61"/>
        <v>089</v>
      </c>
      <c r="L461" s="15" t="s">
        <v>86</v>
      </c>
      <c r="M461" s="18" t="s">
        <v>87</v>
      </c>
      <c r="N461" s="15" t="s">
        <v>88</v>
      </c>
      <c r="O461" s="16" t="str">
        <f t="shared" si="59"/>
        <v>0899 Explotación de otras mineras y canteras n.c.p</v>
      </c>
      <c r="P461" s="10">
        <v>28181.21</v>
      </c>
    </row>
    <row r="462" spans="1:16" s="12" customFormat="1" ht="24" x14ac:dyDescent="0.25">
      <c r="B462" s="13" t="s">
        <v>216</v>
      </c>
      <c r="C462" s="19">
        <v>2022</v>
      </c>
      <c r="D462" s="38">
        <v>20447844835</v>
      </c>
      <c r="E462" s="14" t="s">
        <v>16</v>
      </c>
      <c r="F462" s="15" t="s">
        <v>17</v>
      </c>
      <c r="G462" s="16" t="str">
        <f t="shared" si="57"/>
        <v>B Explotación de minas y canteras</v>
      </c>
      <c r="H462" s="14" t="str">
        <f t="shared" si="60"/>
        <v>08</v>
      </c>
      <c r="I462" s="17" t="s">
        <v>85</v>
      </c>
      <c r="J462" s="17" t="str">
        <f t="shared" si="58"/>
        <v>08 Explotación de otras minas y canteras</v>
      </c>
      <c r="K462" s="14" t="str">
        <f t="shared" si="61"/>
        <v>089</v>
      </c>
      <c r="L462" s="15" t="s">
        <v>86</v>
      </c>
      <c r="M462" s="18" t="s">
        <v>87</v>
      </c>
      <c r="N462" s="15" t="s">
        <v>88</v>
      </c>
      <c r="O462" s="16" t="str">
        <f t="shared" si="59"/>
        <v>0899 Explotación de otras mineras y canteras n.c.p</v>
      </c>
      <c r="P462" s="10">
        <v>797830</v>
      </c>
    </row>
    <row r="463" spans="1:16" s="12" customFormat="1" ht="24" x14ac:dyDescent="0.25">
      <c r="A463" s="12">
        <v>10</v>
      </c>
      <c r="B463" s="13" t="s">
        <v>216</v>
      </c>
      <c r="C463" s="19">
        <v>2025</v>
      </c>
      <c r="D463" s="38">
        <v>20447844835</v>
      </c>
      <c r="E463" s="14" t="s">
        <v>16</v>
      </c>
      <c r="F463" s="15" t="s">
        <v>17</v>
      </c>
      <c r="G463" s="16" t="str">
        <f t="shared" si="57"/>
        <v>B Explotación de minas y canteras</v>
      </c>
      <c r="H463" s="14" t="str">
        <f t="shared" si="60"/>
        <v>08</v>
      </c>
      <c r="I463" s="17" t="s">
        <v>85</v>
      </c>
      <c r="J463" s="17" t="str">
        <f t="shared" si="58"/>
        <v>08 Explotación de otras minas y canteras</v>
      </c>
      <c r="K463" s="14" t="str">
        <f t="shared" si="61"/>
        <v>089</v>
      </c>
      <c r="L463" s="15" t="s">
        <v>86</v>
      </c>
      <c r="M463" s="18" t="s">
        <v>87</v>
      </c>
      <c r="N463" s="15" t="s">
        <v>88</v>
      </c>
      <c r="O463" s="16" t="str">
        <f t="shared" si="59"/>
        <v>0899 Explotación de otras mineras y canteras n.c.p</v>
      </c>
      <c r="P463" s="10">
        <v>740552</v>
      </c>
    </row>
    <row r="464" spans="1:16" s="12" customFormat="1" x14ac:dyDescent="0.25">
      <c r="B464" s="13" t="s">
        <v>212</v>
      </c>
      <c r="C464" s="19">
        <v>2015</v>
      </c>
      <c r="D464" s="38">
        <v>20448000711</v>
      </c>
      <c r="E464" s="14" t="s">
        <v>161</v>
      </c>
      <c r="F464" s="15" t="s">
        <v>189</v>
      </c>
      <c r="G464" s="16" t="str">
        <f t="shared" si="57"/>
        <v>F Construcción</v>
      </c>
      <c r="H464" s="14" t="str">
        <f t="shared" si="60"/>
        <v>41</v>
      </c>
      <c r="I464" s="17" t="s">
        <v>213</v>
      </c>
      <c r="J464" s="17" t="str">
        <f t="shared" si="58"/>
        <v>41 Construcción de edificios</v>
      </c>
      <c r="K464" s="14" t="str">
        <f t="shared" si="61"/>
        <v>410</v>
      </c>
      <c r="L464" s="15" t="s">
        <v>213</v>
      </c>
      <c r="M464" s="18" t="s">
        <v>214</v>
      </c>
      <c r="N464" s="15" t="s">
        <v>213</v>
      </c>
      <c r="O464" s="16" t="str">
        <f t="shared" si="59"/>
        <v>4100 Construcción de edificios</v>
      </c>
      <c r="P464" s="10">
        <v>3885.25</v>
      </c>
    </row>
    <row r="465" spans="2:16" s="12" customFormat="1" ht="24" x14ac:dyDescent="0.25">
      <c r="B465" s="13" t="s">
        <v>304</v>
      </c>
      <c r="C465" s="19">
        <v>2022</v>
      </c>
      <c r="D465" s="38">
        <v>20464918079</v>
      </c>
      <c r="E465" s="14" t="s">
        <v>16</v>
      </c>
      <c r="F465" s="15" t="s">
        <v>17</v>
      </c>
      <c r="G465" s="16" t="str">
        <f t="shared" si="57"/>
        <v>B Explotación de minas y canteras</v>
      </c>
      <c r="H465" s="14" t="str">
        <f t="shared" si="60"/>
        <v>07</v>
      </c>
      <c r="I465" s="17" t="s">
        <v>18</v>
      </c>
      <c r="J465" s="17" t="str">
        <f t="shared" si="58"/>
        <v>07 Extracción de minerales metalíferos</v>
      </c>
      <c r="K465" s="14" t="str">
        <f t="shared" si="61"/>
        <v>072</v>
      </c>
      <c r="L465" s="15" t="s">
        <v>19</v>
      </c>
      <c r="M465" s="18" t="s">
        <v>20</v>
      </c>
      <c r="N465" s="15" t="s">
        <v>21</v>
      </c>
      <c r="O465" s="16" t="str">
        <f t="shared" si="59"/>
        <v>0729 Extracción de otros minerales metalíferos no ferrosos</v>
      </c>
      <c r="P465" s="10">
        <v>39528.620000000003</v>
      </c>
    </row>
    <row r="466" spans="2:16" s="12" customFormat="1" ht="24" x14ac:dyDescent="0.25">
      <c r="B466" s="13" t="s">
        <v>304</v>
      </c>
      <c r="C466" s="19">
        <v>2022</v>
      </c>
      <c r="D466" s="38">
        <v>20464918079</v>
      </c>
      <c r="E466" s="14" t="s">
        <v>16</v>
      </c>
      <c r="F466" s="15" t="s">
        <v>17</v>
      </c>
      <c r="G466" s="16" t="str">
        <f t="shared" si="57"/>
        <v>B Explotación de minas y canteras</v>
      </c>
      <c r="H466" s="14" t="str">
        <f t="shared" si="60"/>
        <v>07</v>
      </c>
      <c r="I466" s="17" t="s">
        <v>18</v>
      </c>
      <c r="J466" s="17" t="str">
        <f t="shared" si="58"/>
        <v>07 Extracción de minerales metalíferos</v>
      </c>
      <c r="K466" s="14" t="str">
        <f t="shared" si="61"/>
        <v>072</v>
      </c>
      <c r="L466" s="15" t="s">
        <v>19</v>
      </c>
      <c r="M466" s="18" t="s">
        <v>20</v>
      </c>
      <c r="N466" s="15" t="s">
        <v>21</v>
      </c>
      <c r="O466" s="16" t="str">
        <f t="shared" si="59"/>
        <v>0729 Extracción de otros minerales metalíferos no ferrosos</v>
      </c>
      <c r="P466" s="10">
        <v>44702.83</v>
      </c>
    </row>
    <row r="467" spans="2:16" s="12" customFormat="1" ht="24" x14ac:dyDescent="0.25">
      <c r="B467" s="13" t="s">
        <v>349</v>
      </c>
      <c r="C467" s="19">
        <v>2024</v>
      </c>
      <c r="D467" s="38">
        <v>20464993879</v>
      </c>
      <c r="E467" s="14" t="s">
        <v>95</v>
      </c>
      <c r="F467" s="15" t="s">
        <v>96</v>
      </c>
      <c r="G467" s="16" t="str">
        <f t="shared" si="57"/>
        <v>J Información y comunicaciones</v>
      </c>
      <c r="H467" s="14">
        <v>63</v>
      </c>
      <c r="I467" s="17" t="s">
        <v>350</v>
      </c>
      <c r="J467" s="17" t="str">
        <f t="shared" si="58"/>
        <v>63 Actividades de servicios de información</v>
      </c>
      <c r="K467" s="14">
        <v>631</v>
      </c>
      <c r="L467" s="15" t="s">
        <v>351</v>
      </c>
      <c r="M467" s="18" t="s">
        <v>352</v>
      </c>
      <c r="N467" s="15" t="s">
        <v>353</v>
      </c>
      <c r="O467" s="16" t="str">
        <f t="shared" si="59"/>
        <v>6311  Procesamiento de datos, hospedaje y actividades conexas</v>
      </c>
      <c r="P467" s="10">
        <v>3974.72</v>
      </c>
    </row>
    <row r="468" spans="2:16" s="12" customFormat="1" ht="24" x14ac:dyDescent="0.25">
      <c r="B468" s="13" t="s">
        <v>131</v>
      </c>
      <c r="C468" s="19">
        <v>2009</v>
      </c>
      <c r="D468" s="38">
        <v>20466327612</v>
      </c>
      <c r="E468" s="14" t="s">
        <v>16</v>
      </c>
      <c r="F468" s="15" t="s">
        <v>17</v>
      </c>
      <c r="G468" s="16" t="str">
        <f t="shared" si="57"/>
        <v>B Explotación de minas y canteras</v>
      </c>
      <c r="H468" s="14" t="str">
        <f t="shared" ref="H468:H480" si="62">LEFT(K468,2)</f>
        <v>08</v>
      </c>
      <c r="I468" s="17" t="s">
        <v>85</v>
      </c>
      <c r="J468" s="17" t="str">
        <f t="shared" si="58"/>
        <v>08 Explotación de otras minas y canteras</v>
      </c>
      <c r="K468" s="14" t="str">
        <f t="shared" ref="K468:K480" si="63">LEFT(M468,3)</f>
        <v>089</v>
      </c>
      <c r="L468" s="15" t="s">
        <v>86</v>
      </c>
      <c r="M468" s="18" t="s">
        <v>87</v>
      </c>
      <c r="N468" s="15" t="s">
        <v>88</v>
      </c>
      <c r="O468" s="16" t="str">
        <f t="shared" si="59"/>
        <v>0899 Explotación de otras mineras y canteras n.c.p</v>
      </c>
      <c r="P468" s="10">
        <v>48965.51</v>
      </c>
    </row>
    <row r="469" spans="2:16" s="12" customFormat="1" ht="24" x14ac:dyDescent="0.25">
      <c r="B469" s="13" t="s">
        <v>131</v>
      </c>
      <c r="C469" s="19">
        <v>2010</v>
      </c>
      <c r="D469" s="38">
        <v>20466327612</v>
      </c>
      <c r="E469" s="14" t="s">
        <v>16</v>
      </c>
      <c r="F469" s="15" t="s">
        <v>17</v>
      </c>
      <c r="G469" s="16" t="str">
        <f t="shared" si="57"/>
        <v>B Explotación de minas y canteras</v>
      </c>
      <c r="H469" s="14" t="str">
        <f t="shared" si="62"/>
        <v>08</v>
      </c>
      <c r="I469" s="17" t="s">
        <v>85</v>
      </c>
      <c r="J469" s="17" t="str">
        <f t="shared" si="58"/>
        <v>08 Explotación de otras minas y canteras</v>
      </c>
      <c r="K469" s="14" t="str">
        <f t="shared" si="63"/>
        <v>089</v>
      </c>
      <c r="L469" s="15" t="s">
        <v>86</v>
      </c>
      <c r="M469" s="18" t="s">
        <v>87</v>
      </c>
      <c r="N469" s="15" t="s">
        <v>88</v>
      </c>
      <c r="O469" s="16" t="str">
        <f t="shared" si="59"/>
        <v>0899 Explotación de otras mineras y canteras n.c.p</v>
      </c>
      <c r="P469" s="10">
        <v>678091.14</v>
      </c>
    </row>
    <row r="470" spans="2:16" s="12" customFormat="1" ht="24" x14ac:dyDescent="0.25">
      <c r="B470" s="13" t="s">
        <v>131</v>
      </c>
      <c r="C470" s="19">
        <v>2011</v>
      </c>
      <c r="D470" s="38">
        <v>20466327612</v>
      </c>
      <c r="E470" s="14" t="s">
        <v>16</v>
      </c>
      <c r="F470" s="15" t="s">
        <v>17</v>
      </c>
      <c r="G470" s="16" t="str">
        <f t="shared" si="57"/>
        <v>B Explotación de minas y canteras</v>
      </c>
      <c r="H470" s="14" t="str">
        <f t="shared" si="62"/>
        <v>08</v>
      </c>
      <c r="I470" s="17" t="s">
        <v>85</v>
      </c>
      <c r="J470" s="17" t="str">
        <f t="shared" si="58"/>
        <v>08 Explotación de otras minas y canteras</v>
      </c>
      <c r="K470" s="14" t="str">
        <f t="shared" si="63"/>
        <v>089</v>
      </c>
      <c r="L470" s="15" t="s">
        <v>86</v>
      </c>
      <c r="M470" s="18" t="s">
        <v>87</v>
      </c>
      <c r="N470" s="15" t="s">
        <v>88</v>
      </c>
      <c r="O470" s="16" t="str">
        <f t="shared" si="59"/>
        <v>0899 Explotación de otras mineras y canteras n.c.p</v>
      </c>
      <c r="P470" s="10">
        <v>5759422.4500000002</v>
      </c>
    </row>
    <row r="471" spans="2:16" s="12" customFormat="1" ht="24" x14ac:dyDescent="0.25">
      <c r="B471" s="13" t="s">
        <v>131</v>
      </c>
      <c r="C471" s="19">
        <v>2012</v>
      </c>
      <c r="D471" s="38">
        <v>20466327612</v>
      </c>
      <c r="E471" s="14" t="s">
        <v>16</v>
      </c>
      <c r="F471" s="15" t="s">
        <v>17</v>
      </c>
      <c r="G471" s="16" t="str">
        <f t="shared" si="57"/>
        <v>B Explotación de minas y canteras</v>
      </c>
      <c r="H471" s="14" t="str">
        <f t="shared" si="62"/>
        <v>08</v>
      </c>
      <c r="I471" s="17" t="s">
        <v>85</v>
      </c>
      <c r="J471" s="17" t="str">
        <f t="shared" si="58"/>
        <v>08 Explotación de otras minas y canteras</v>
      </c>
      <c r="K471" s="14" t="str">
        <f t="shared" si="63"/>
        <v>089</v>
      </c>
      <c r="L471" s="15" t="s">
        <v>86</v>
      </c>
      <c r="M471" s="18" t="s">
        <v>87</v>
      </c>
      <c r="N471" s="15" t="s">
        <v>88</v>
      </c>
      <c r="O471" s="16" t="str">
        <f t="shared" si="59"/>
        <v>0899 Explotación de otras mineras y canteras n.c.p</v>
      </c>
      <c r="P471" s="10">
        <v>7778642.8200000003</v>
      </c>
    </row>
    <row r="472" spans="2:16" s="12" customFormat="1" ht="24" x14ac:dyDescent="0.25">
      <c r="B472" s="13" t="s">
        <v>131</v>
      </c>
      <c r="C472" s="19">
        <v>2013</v>
      </c>
      <c r="D472" s="38">
        <v>20466327612</v>
      </c>
      <c r="E472" s="14" t="s">
        <v>16</v>
      </c>
      <c r="F472" s="15" t="s">
        <v>17</v>
      </c>
      <c r="G472" s="16" t="str">
        <f t="shared" si="57"/>
        <v>B Explotación de minas y canteras</v>
      </c>
      <c r="H472" s="14" t="str">
        <f t="shared" si="62"/>
        <v>08</v>
      </c>
      <c r="I472" s="17" t="s">
        <v>85</v>
      </c>
      <c r="J472" s="17" t="str">
        <f t="shared" si="58"/>
        <v>08 Explotación de otras minas y canteras</v>
      </c>
      <c r="K472" s="14" t="str">
        <f t="shared" si="63"/>
        <v>089</v>
      </c>
      <c r="L472" s="15" t="s">
        <v>86</v>
      </c>
      <c r="M472" s="18" t="s">
        <v>87</v>
      </c>
      <c r="N472" s="15" t="s">
        <v>88</v>
      </c>
      <c r="O472" s="16" t="str">
        <f t="shared" si="59"/>
        <v>0899 Explotación de otras mineras y canteras n.c.p</v>
      </c>
      <c r="P472" s="10">
        <v>1261517.8400000001</v>
      </c>
    </row>
    <row r="473" spans="2:16" s="12" customFormat="1" ht="24" x14ac:dyDescent="0.25">
      <c r="B473" s="13" t="s">
        <v>131</v>
      </c>
      <c r="C473" s="19">
        <v>2014</v>
      </c>
      <c r="D473" s="38">
        <v>20466327612</v>
      </c>
      <c r="E473" s="14" t="s">
        <v>16</v>
      </c>
      <c r="F473" s="15" t="s">
        <v>17</v>
      </c>
      <c r="G473" s="16" t="str">
        <f t="shared" si="57"/>
        <v>B Explotación de minas y canteras</v>
      </c>
      <c r="H473" s="14" t="str">
        <f t="shared" si="62"/>
        <v>08</v>
      </c>
      <c r="I473" s="17" t="s">
        <v>85</v>
      </c>
      <c r="J473" s="17" t="str">
        <f t="shared" si="58"/>
        <v>08 Explotación de otras minas y canteras</v>
      </c>
      <c r="K473" s="14" t="str">
        <f t="shared" si="63"/>
        <v>089</v>
      </c>
      <c r="L473" s="15" t="s">
        <v>86</v>
      </c>
      <c r="M473" s="18" t="s">
        <v>87</v>
      </c>
      <c r="N473" s="15" t="s">
        <v>88</v>
      </c>
      <c r="O473" s="16" t="str">
        <f t="shared" si="59"/>
        <v>0899 Explotación de otras mineras y canteras n.c.p</v>
      </c>
      <c r="P473" s="10">
        <v>59488.26</v>
      </c>
    </row>
    <row r="474" spans="2:16" s="12" customFormat="1" x14ac:dyDescent="0.25">
      <c r="B474" s="13" t="s">
        <v>344</v>
      </c>
      <c r="C474" s="19">
        <v>2011</v>
      </c>
      <c r="D474" s="38">
        <v>20467534026</v>
      </c>
      <c r="E474" s="14" t="s">
        <v>95</v>
      </c>
      <c r="F474" s="15" t="s">
        <v>96</v>
      </c>
      <c r="G474" s="16" t="str">
        <f t="shared" si="57"/>
        <v>J Información y comunicaciones</v>
      </c>
      <c r="H474" s="14" t="str">
        <f t="shared" si="62"/>
        <v>61</v>
      </c>
      <c r="I474" s="17" t="s">
        <v>97</v>
      </c>
      <c r="J474" s="17" t="str">
        <f t="shared" si="58"/>
        <v>61 Telecomunicaciones</v>
      </c>
      <c r="K474" s="14" t="str">
        <f t="shared" si="63"/>
        <v>619</v>
      </c>
      <c r="L474" s="15" t="s">
        <v>98</v>
      </c>
      <c r="M474" s="18" t="s">
        <v>99</v>
      </c>
      <c r="N474" s="15" t="s">
        <v>98</v>
      </c>
      <c r="O474" s="16" t="str">
        <f t="shared" si="59"/>
        <v>6190 Otras actividades de telecomunicaciones</v>
      </c>
      <c r="P474" s="10">
        <v>781974.76000000024</v>
      </c>
    </row>
    <row r="475" spans="2:16" s="12" customFormat="1" x14ac:dyDescent="0.25">
      <c r="B475" s="13" t="s">
        <v>344</v>
      </c>
      <c r="C475" s="19">
        <v>2012</v>
      </c>
      <c r="D475" s="38">
        <v>20467534026</v>
      </c>
      <c r="E475" s="14" t="s">
        <v>95</v>
      </c>
      <c r="F475" s="15" t="s">
        <v>96</v>
      </c>
      <c r="G475" s="16" t="str">
        <f t="shared" si="57"/>
        <v>J Información y comunicaciones</v>
      </c>
      <c r="H475" s="14" t="str">
        <f t="shared" si="62"/>
        <v>61</v>
      </c>
      <c r="I475" s="17" t="s">
        <v>97</v>
      </c>
      <c r="J475" s="17" t="str">
        <f t="shared" si="58"/>
        <v>61 Telecomunicaciones</v>
      </c>
      <c r="K475" s="14" t="str">
        <f t="shared" si="63"/>
        <v>619</v>
      </c>
      <c r="L475" s="15" t="s">
        <v>98</v>
      </c>
      <c r="M475" s="18" t="s">
        <v>99</v>
      </c>
      <c r="N475" s="15" t="s">
        <v>98</v>
      </c>
      <c r="O475" s="16" t="str">
        <f t="shared" si="59"/>
        <v>6190 Otras actividades de telecomunicaciones</v>
      </c>
      <c r="P475" s="10">
        <v>547585.68999999994</v>
      </c>
    </row>
    <row r="476" spans="2:16" s="12" customFormat="1" x14ac:dyDescent="0.25">
      <c r="B476" s="13" t="s">
        <v>344</v>
      </c>
      <c r="C476" s="19">
        <v>2013</v>
      </c>
      <c r="D476" s="38">
        <v>20467534026</v>
      </c>
      <c r="E476" s="14" t="s">
        <v>95</v>
      </c>
      <c r="F476" s="15" t="s">
        <v>96</v>
      </c>
      <c r="G476" s="16" t="str">
        <f t="shared" si="57"/>
        <v>J Información y comunicaciones</v>
      </c>
      <c r="H476" s="14" t="str">
        <f t="shared" si="62"/>
        <v>61</v>
      </c>
      <c r="I476" s="17" t="s">
        <v>97</v>
      </c>
      <c r="J476" s="17" t="str">
        <f t="shared" si="58"/>
        <v>61 Telecomunicaciones</v>
      </c>
      <c r="K476" s="14" t="str">
        <f t="shared" si="63"/>
        <v>619</v>
      </c>
      <c r="L476" s="15" t="s">
        <v>98</v>
      </c>
      <c r="M476" s="18" t="s">
        <v>99</v>
      </c>
      <c r="N476" s="15" t="s">
        <v>98</v>
      </c>
      <c r="O476" s="16" t="str">
        <f t="shared" si="59"/>
        <v>6190 Otras actividades de telecomunicaciones</v>
      </c>
      <c r="P476" s="10">
        <v>277372.48</v>
      </c>
    </row>
    <row r="477" spans="2:16" s="12" customFormat="1" x14ac:dyDescent="0.25">
      <c r="B477" s="13" t="s">
        <v>344</v>
      </c>
      <c r="C477" s="19">
        <v>2014</v>
      </c>
      <c r="D477" s="38">
        <v>20467534026</v>
      </c>
      <c r="E477" s="14" t="s">
        <v>95</v>
      </c>
      <c r="F477" s="15" t="s">
        <v>96</v>
      </c>
      <c r="G477" s="16" t="str">
        <f t="shared" si="57"/>
        <v>J Información y comunicaciones</v>
      </c>
      <c r="H477" s="14" t="str">
        <f t="shared" si="62"/>
        <v>61</v>
      </c>
      <c r="I477" s="17" t="s">
        <v>97</v>
      </c>
      <c r="J477" s="17" t="str">
        <f t="shared" si="58"/>
        <v>61 Telecomunicaciones</v>
      </c>
      <c r="K477" s="14" t="str">
        <f t="shared" si="63"/>
        <v>619</v>
      </c>
      <c r="L477" s="15" t="s">
        <v>98</v>
      </c>
      <c r="M477" s="18" t="s">
        <v>99</v>
      </c>
      <c r="N477" s="15" t="s">
        <v>98</v>
      </c>
      <c r="O477" s="16" t="str">
        <f t="shared" si="59"/>
        <v>6190 Otras actividades de telecomunicaciones</v>
      </c>
      <c r="P477" s="10">
        <v>444106.61</v>
      </c>
    </row>
    <row r="478" spans="2:16" s="12" customFormat="1" x14ac:dyDescent="0.25">
      <c r="B478" s="13" t="s">
        <v>344</v>
      </c>
      <c r="C478" s="19">
        <v>2015</v>
      </c>
      <c r="D478" s="38">
        <v>20467534026</v>
      </c>
      <c r="E478" s="14" t="s">
        <v>95</v>
      </c>
      <c r="F478" s="15" t="s">
        <v>96</v>
      </c>
      <c r="G478" s="16" t="str">
        <f t="shared" si="57"/>
        <v>J Información y comunicaciones</v>
      </c>
      <c r="H478" s="14" t="str">
        <f t="shared" si="62"/>
        <v>61</v>
      </c>
      <c r="I478" s="17" t="s">
        <v>97</v>
      </c>
      <c r="J478" s="17" t="str">
        <f t="shared" si="58"/>
        <v>61 Telecomunicaciones</v>
      </c>
      <c r="K478" s="14" t="str">
        <f t="shared" si="63"/>
        <v>619</v>
      </c>
      <c r="L478" s="15" t="s">
        <v>98</v>
      </c>
      <c r="M478" s="18" t="s">
        <v>99</v>
      </c>
      <c r="N478" s="15" t="s">
        <v>98</v>
      </c>
      <c r="O478" s="16" t="str">
        <f t="shared" si="59"/>
        <v>6190 Otras actividades de telecomunicaciones</v>
      </c>
      <c r="P478" s="10">
        <v>23921.22</v>
      </c>
    </row>
    <row r="479" spans="2:16" s="12" customFormat="1" x14ac:dyDescent="0.25">
      <c r="B479" s="13" t="s">
        <v>344</v>
      </c>
      <c r="C479" s="19">
        <v>2021</v>
      </c>
      <c r="D479" s="38">
        <v>20467534026</v>
      </c>
      <c r="E479" s="14" t="s">
        <v>95</v>
      </c>
      <c r="F479" s="15" t="s">
        <v>96</v>
      </c>
      <c r="G479" s="16" t="str">
        <f t="shared" si="57"/>
        <v>J Información y comunicaciones</v>
      </c>
      <c r="H479" s="14" t="str">
        <f t="shared" si="62"/>
        <v>61</v>
      </c>
      <c r="I479" s="17" t="s">
        <v>97</v>
      </c>
      <c r="J479" s="17" t="str">
        <f t="shared" si="58"/>
        <v>61 Telecomunicaciones</v>
      </c>
      <c r="K479" s="14" t="str">
        <f t="shared" si="63"/>
        <v>619</v>
      </c>
      <c r="L479" s="15" t="s">
        <v>98</v>
      </c>
      <c r="M479" s="18" t="s">
        <v>99</v>
      </c>
      <c r="N479" s="15" t="s">
        <v>98</v>
      </c>
      <c r="O479" s="16" t="str">
        <f t="shared" si="59"/>
        <v>6190 Otras actividades de telecomunicaciones</v>
      </c>
      <c r="P479" s="10">
        <v>80427.75</v>
      </c>
    </row>
    <row r="480" spans="2:16" s="12" customFormat="1" x14ac:dyDescent="0.25">
      <c r="B480" s="13" t="s">
        <v>344</v>
      </c>
      <c r="C480" s="19">
        <v>2022</v>
      </c>
      <c r="D480" s="38">
        <v>20467534026</v>
      </c>
      <c r="E480" s="14" t="s">
        <v>95</v>
      </c>
      <c r="F480" s="15" t="s">
        <v>96</v>
      </c>
      <c r="G480" s="16" t="str">
        <f t="shared" si="57"/>
        <v>J Información y comunicaciones</v>
      </c>
      <c r="H480" s="14" t="str">
        <f t="shared" si="62"/>
        <v>61</v>
      </c>
      <c r="I480" s="17" t="s">
        <v>97</v>
      </c>
      <c r="J480" s="17" t="str">
        <f t="shared" si="58"/>
        <v>61 Telecomunicaciones</v>
      </c>
      <c r="K480" s="14" t="str">
        <f t="shared" si="63"/>
        <v>619</v>
      </c>
      <c r="L480" s="15" t="s">
        <v>98</v>
      </c>
      <c r="M480" s="18" t="s">
        <v>99</v>
      </c>
      <c r="N480" s="15" t="s">
        <v>98</v>
      </c>
      <c r="O480" s="16" t="str">
        <f t="shared" si="59"/>
        <v>6190 Otras actividades de telecomunicaciones</v>
      </c>
      <c r="P480" s="10">
        <v>102772.02</v>
      </c>
    </row>
    <row r="481" spans="1:16" s="12" customFormat="1" x14ac:dyDescent="0.25">
      <c r="B481" s="13" t="s">
        <v>344</v>
      </c>
      <c r="C481" s="19">
        <v>2024</v>
      </c>
      <c r="D481" s="38">
        <v>20467534026</v>
      </c>
      <c r="E481" s="14" t="s">
        <v>95</v>
      </c>
      <c r="F481" s="15" t="s">
        <v>96</v>
      </c>
      <c r="G481" s="16" t="str">
        <f t="shared" si="57"/>
        <v>J Información y comunicaciones</v>
      </c>
      <c r="H481" s="14">
        <v>61</v>
      </c>
      <c r="I481" s="17" t="s">
        <v>97</v>
      </c>
      <c r="J481" s="17" t="str">
        <f t="shared" si="58"/>
        <v>61 Telecomunicaciones</v>
      </c>
      <c r="K481" s="14">
        <v>619</v>
      </c>
      <c r="L481" s="15" t="s">
        <v>345</v>
      </c>
      <c r="M481" s="18" t="s">
        <v>99</v>
      </c>
      <c r="N481" s="15" t="s">
        <v>346</v>
      </c>
      <c r="O481" s="16" t="str">
        <f t="shared" si="59"/>
        <v>6190 Otras actividades de Telecomunicación</v>
      </c>
      <c r="P481" s="10">
        <v>1488.15</v>
      </c>
    </row>
    <row r="482" spans="1:16" s="12" customFormat="1" ht="36" x14ac:dyDescent="0.25">
      <c r="B482" s="13" t="s">
        <v>273</v>
      </c>
      <c r="C482" s="19">
        <v>2021</v>
      </c>
      <c r="D482" s="38">
        <v>20471476898</v>
      </c>
      <c r="E482" s="14" t="s">
        <v>42</v>
      </c>
      <c r="F482" s="15" t="s">
        <v>43</v>
      </c>
      <c r="G482" s="16" t="str">
        <f t="shared" si="57"/>
        <v>G Comercio al por mayor y al por menor; reparación de vehículos automotores y motocicletas</v>
      </c>
      <c r="H482" s="14" t="str">
        <f>LEFT(K482,2)</f>
        <v>46</v>
      </c>
      <c r="I482" s="17" t="s">
        <v>44</v>
      </c>
      <c r="J482" s="17" t="str">
        <f t="shared" si="58"/>
        <v>46 Comercio al por mayor, excepto el de vehículos automotores y motocicletas</v>
      </c>
      <c r="K482" s="14" t="str">
        <f>LEFT(M482,3)</f>
        <v>469</v>
      </c>
      <c r="L482" s="15" t="s">
        <v>45</v>
      </c>
      <c r="M482" s="18" t="s">
        <v>46</v>
      </c>
      <c r="N482" s="15" t="s">
        <v>45</v>
      </c>
      <c r="O482" s="16" t="str">
        <f t="shared" si="59"/>
        <v>4690 Venta al por mayor no especializada</v>
      </c>
      <c r="P482" s="10">
        <v>306699.28999999998</v>
      </c>
    </row>
    <row r="483" spans="1:16" s="12" customFormat="1" ht="36" x14ac:dyDescent="0.25">
      <c r="B483" s="13" t="s">
        <v>273</v>
      </c>
      <c r="C483" s="19">
        <v>2022</v>
      </c>
      <c r="D483" s="38">
        <v>20471476898</v>
      </c>
      <c r="E483" s="14" t="s">
        <v>42</v>
      </c>
      <c r="F483" s="15" t="s">
        <v>43</v>
      </c>
      <c r="G483" s="16" t="str">
        <f t="shared" si="57"/>
        <v>G Comercio al por mayor y al por menor; reparación de vehículos automotores y motocicletas</v>
      </c>
      <c r="H483" s="14" t="str">
        <f>LEFT(K483,2)</f>
        <v>46</v>
      </c>
      <c r="I483" s="17" t="s">
        <v>44</v>
      </c>
      <c r="J483" s="17" t="str">
        <f t="shared" si="58"/>
        <v>46 Comercio al por mayor, excepto el de vehículos automotores y motocicletas</v>
      </c>
      <c r="K483" s="14" t="str">
        <f>LEFT(M483,3)</f>
        <v>469</v>
      </c>
      <c r="L483" s="15" t="s">
        <v>45</v>
      </c>
      <c r="M483" s="18" t="s">
        <v>46</v>
      </c>
      <c r="N483" s="15" t="s">
        <v>45</v>
      </c>
      <c r="O483" s="16" t="str">
        <f t="shared" si="59"/>
        <v>4690 Venta al por mayor no especializada</v>
      </c>
      <c r="P483" s="10">
        <v>236251.71</v>
      </c>
    </row>
    <row r="484" spans="1:16" s="12" customFormat="1" ht="24" x14ac:dyDescent="0.25">
      <c r="B484" s="13" t="s">
        <v>320</v>
      </c>
      <c r="C484" s="19">
        <v>2023</v>
      </c>
      <c r="D484" s="38">
        <v>20492185087</v>
      </c>
      <c r="E484" s="14" t="s">
        <v>108</v>
      </c>
      <c r="F484" s="15" t="s">
        <v>109</v>
      </c>
      <c r="G484" s="16" t="str">
        <f t="shared" si="57"/>
        <v>H Transporte y almacenamiento</v>
      </c>
      <c r="H484" s="14">
        <v>52</v>
      </c>
      <c r="I484" s="17" t="s">
        <v>110</v>
      </c>
      <c r="J484" s="17" t="str">
        <f t="shared" si="58"/>
        <v xml:space="preserve">52 Almacenamiento y actividades de apoyo al transporte </v>
      </c>
      <c r="K484" s="14">
        <v>522</v>
      </c>
      <c r="L484" s="15" t="s">
        <v>139</v>
      </c>
      <c r="M484" s="18">
        <v>5222</v>
      </c>
      <c r="N484" s="15" t="s">
        <v>321</v>
      </c>
      <c r="O484" s="16" t="str">
        <f t="shared" si="59"/>
        <v>5222 Actividades de servicios vinculadas al transporte Acuático</v>
      </c>
      <c r="P484" s="10">
        <v>7064.34</v>
      </c>
    </row>
    <row r="485" spans="1:16" s="12" customFormat="1" x14ac:dyDescent="0.25">
      <c r="A485" s="12">
        <v>9</v>
      </c>
      <c r="B485" s="13" t="s">
        <v>370</v>
      </c>
      <c r="C485" s="19">
        <v>2025</v>
      </c>
      <c r="D485" s="38">
        <v>20493508645</v>
      </c>
      <c r="E485" s="14" t="s">
        <v>23</v>
      </c>
      <c r="F485" s="15" t="s">
        <v>24</v>
      </c>
      <c r="G485" s="16" t="str">
        <f t="shared" si="57"/>
        <v>C Industria manufacturera</v>
      </c>
      <c r="H485" s="14">
        <v>30</v>
      </c>
      <c r="I485" s="17" t="s">
        <v>371</v>
      </c>
      <c r="J485" s="17" t="s">
        <v>372</v>
      </c>
      <c r="K485" s="14">
        <v>309</v>
      </c>
      <c r="L485" s="15" t="s">
        <v>373</v>
      </c>
      <c r="M485" s="18" t="s">
        <v>374</v>
      </c>
      <c r="N485" s="15" t="s">
        <v>375</v>
      </c>
      <c r="O485" s="16" t="s">
        <v>376</v>
      </c>
      <c r="P485" s="10">
        <v>305.52</v>
      </c>
    </row>
    <row r="486" spans="1:16" s="12" customFormat="1" x14ac:dyDescent="0.25">
      <c r="B486" s="13" t="s">
        <v>355</v>
      </c>
      <c r="C486" s="19">
        <v>2024</v>
      </c>
      <c r="D486" s="38">
        <v>20499432021</v>
      </c>
      <c r="E486" s="14" t="s">
        <v>108</v>
      </c>
      <c r="F486" s="15" t="s">
        <v>109</v>
      </c>
      <c r="G486" s="16" t="s">
        <v>340</v>
      </c>
      <c r="H486" s="14">
        <v>49</v>
      </c>
      <c r="I486" s="17" t="s">
        <v>246</v>
      </c>
      <c r="J486" s="17" t="str">
        <f t="shared" ref="J486:J517" si="64">H486&amp;" "&amp;I486</f>
        <v>49 Transporte por vía terrestre y transporte por tuberías</v>
      </c>
      <c r="K486" s="14">
        <v>493</v>
      </c>
      <c r="L486" s="15" t="s">
        <v>356</v>
      </c>
      <c r="M486" s="18" t="s">
        <v>357</v>
      </c>
      <c r="N486" s="15" t="s">
        <v>358</v>
      </c>
      <c r="O486" s="16" t="str">
        <f t="shared" ref="O486:O517" si="65">M486&amp;" "&amp;N486</f>
        <v>4930 Transporte por Tuberias</v>
      </c>
      <c r="P486" s="10">
        <v>9937528.4900000002</v>
      </c>
    </row>
    <row r="487" spans="1:16" s="12" customFormat="1" x14ac:dyDescent="0.25">
      <c r="A487" s="12">
        <v>29</v>
      </c>
      <c r="B487" s="13" t="s">
        <v>355</v>
      </c>
      <c r="C487" s="19">
        <v>2025</v>
      </c>
      <c r="D487" s="38">
        <v>20499432021</v>
      </c>
      <c r="E487" s="14" t="s">
        <v>108</v>
      </c>
      <c r="F487" s="15" t="s">
        <v>109</v>
      </c>
      <c r="G487" s="16" t="s">
        <v>340</v>
      </c>
      <c r="H487" s="14">
        <v>49</v>
      </c>
      <c r="I487" s="17" t="s">
        <v>246</v>
      </c>
      <c r="J487" s="17" t="str">
        <f t="shared" si="64"/>
        <v>49 Transporte por vía terrestre y transporte por tuberías</v>
      </c>
      <c r="K487" s="14">
        <v>493</v>
      </c>
      <c r="L487" s="15" t="s">
        <v>356</v>
      </c>
      <c r="M487" s="18" t="s">
        <v>357</v>
      </c>
      <c r="N487" s="15" t="s">
        <v>358</v>
      </c>
      <c r="O487" s="16" t="str">
        <f t="shared" si="65"/>
        <v>4930 Transporte por Tuberias</v>
      </c>
      <c r="P487" s="10">
        <v>11069431.49</v>
      </c>
    </row>
    <row r="488" spans="1:16" s="12" customFormat="1" ht="36" x14ac:dyDescent="0.25">
      <c r="B488" s="22" t="s">
        <v>310</v>
      </c>
      <c r="C488" s="19">
        <v>2022</v>
      </c>
      <c r="D488" s="38">
        <v>20500929252</v>
      </c>
      <c r="E488" s="14" t="s">
        <v>42</v>
      </c>
      <c r="F488" s="15" t="s">
        <v>43</v>
      </c>
      <c r="G488" s="16" t="str">
        <f t="shared" ref="G488:G519" si="66">E488&amp;" "&amp;F488</f>
        <v>G Comercio al por mayor y al por menor; reparación de vehículos automotores y motocicletas</v>
      </c>
      <c r="H488" s="14" t="str">
        <f t="shared" ref="H488:H519" si="67">LEFT(K488,2)</f>
        <v>46</v>
      </c>
      <c r="I488" s="17" t="s">
        <v>44</v>
      </c>
      <c r="J488" s="17" t="str">
        <f t="shared" si="64"/>
        <v>46 Comercio al por mayor, excepto el de vehículos automotores y motocicletas</v>
      </c>
      <c r="K488" s="14" t="str">
        <f t="shared" ref="K488:K519" si="68">LEFT(M488,3)</f>
        <v>469</v>
      </c>
      <c r="L488" s="15" t="s">
        <v>45</v>
      </c>
      <c r="M488" s="18" t="s">
        <v>46</v>
      </c>
      <c r="N488" s="15" t="s">
        <v>45</v>
      </c>
      <c r="O488" s="16" t="str">
        <f t="shared" si="65"/>
        <v>4690 Venta al por mayor no especializada</v>
      </c>
      <c r="P488" s="10">
        <v>74930.070000000007</v>
      </c>
    </row>
    <row r="489" spans="1:16" s="12" customFormat="1" ht="24" x14ac:dyDescent="0.25">
      <c r="B489" s="13" t="s">
        <v>266</v>
      </c>
      <c r="C489" s="19">
        <v>2019</v>
      </c>
      <c r="D489" s="38">
        <v>20501577252</v>
      </c>
      <c r="E489" s="14" t="s">
        <v>108</v>
      </c>
      <c r="F489" s="15" t="s">
        <v>109</v>
      </c>
      <c r="G489" s="16" t="str">
        <f t="shared" si="66"/>
        <v>H Transporte y almacenamiento</v>
      </c>
      <c r="H489" s="14" t="str">
        <f t="shared" si="67"/>
        <v>52</v>
      </c>
      <c r="I489" s="17" t="s">
        <v>110</v>
      </c>
      <c r="J489" s="17" t="str">
        <f t="shared" si="64"/>
        <v xml:space="preserve">52 Almacenamiento y actividades de apoyo al transporte </v>
      </c>
      <c r="K489" s="14" t="str">
        <f t="shared" si="68"/>
        <v>522</v>
      </c>
      <c r="L489" s="15" t="s">
        <v>139</v>
      </c>
      <c r="M489" s="18" t="s">
        <v>267</v>
      </c>
      <c r="N489" s="15" t="s">
        <v>268</v>
      </c>
      <c r="O489" s="16" t="str">
        <f t="shared" si="65"/>
        <v>5223 Actividades de servicios vinculadas al transporte aéreo</v>
      </c>
      <c r="P489" s="10">
        <v>997.73</v>
      </c>
    </row>
    <row r="490" spans="1:16" s="12" customFormat="1" ht="24" x14ac:dyDescent="0.25">
      <c r="B490" s="13" t="s">
        <v>73</v>
      </c>
      <c r="C490" s="19">
        <v>2006</v>
      </c>
      <c r="D490" s="38">
        <v>20501977439</v>
      </c>
      <c r="E490" s="14" t="s">
        <v>23</v>
      </c>
      <c r="F490" s="15" t="s">
        <v>24</v>
      </c>
      <c r="G490" s="16" t="str">
        <f t="shared" si="66"/>
        <v>C Industria manufacturera</v>
      </c>
      <c r="H490" s="14" t="str">
        <f t="shared" si="67"/>
        <v>14</v>
      </c>
      <c r="I490" s="17" t="s">
        <v>74</v>
      </c>
      <c r="J490" s="17" t="str">
        <f t="shared" si="64"/>
        <v>14 Fabricación de prendas de vestir</v>
      </c>
      <c r="K490" s="14" t="str">
        <f t="shared" si="68"/>
        <v>141</v>
      </c>
      <c r="L490" s="15" t="s">
        <v>75</v>
      </c>
      <c r="M490" s="18" t="s">
        <v>76</v>
      </c>
      <c r="N490" s="15" t="s">
        <v>75</v>
      </c>
      <c r="O490" s="16" t="str">
        <f t="shared" si="65"/>
        <v>1410 Fabricación de prendas de vestir, excepto prendas de piel</v>
      </c>
      <c r="P490" s="10">
        <v>702991.25</v>
      </c>
    </row>
    <row r="491" spans="1:16" s="12" customFormat="1" ht="24" x14ac:dyDescent="0.25">
      <c r="B491" s="13" t="s">
        <v>73</v>
      </c>
      <c r="C491" s="19">
        <v>2008</v>
      </c>
      <c r="D491" s="38">
        <v>20501977439</v>
      </c>
      <c r="E491" s="14" t="s">
        <v>23</v>
      </c>
      <c r="F491" s="15" t="s">
        <v>24</v>
      </c>
      <c r="G491" s="16" t="str">
        <f t="shared" si="66"/>
        <v>C Industria manufacturera</v>
      </c>
      <c r="H491" s="14" t="str">
        <f t="shared" si="67"/>
        <v>14</v>
      </c>
      <c r="I491" s="17" t="s">
        <v>74</v>
      </c>
      <c r="J491" s="17" t="str">
        <f t="shared" si="64"/>
        <v>14 Fabricación de prendas de vestir</v>
      </c>
      <c r="K491" s="14" t="str">
        <f t="shared" si="68"/>
        <v>141</v>
      </c>
      <c r="L491" s="15" t="s">
        <v>75</v>
      </c>
      <c r="M491" s="18" t="s">
        <v>76</v>
      </c>
      <c r="N491" s="15" t="s">
        <v>75</v>
      </c>
      <c r="O491" s="16" t="str">
        <f t="shared" si="65"/>
        <v>1410 Fabricación de prendas de vestir, excepto prendas de piel</v>
      </c>
      <c r="P491" s="10">
        <v>345847.99</v>
      </c>
    </row>
    <row r="492" spans="1:16" s="12" customFormat="1" ht="24" x14ac:dyDescent="0.25">
      <c r="B492" s="13" t="s">
        <v>73</v>
      </c>
      <c r="C492" s="19">
        <v>2009</v>
      </c>
      <c r="D492" s="38">
        <v>20501977439</v>
      </c>
      <c r="E492" s="14" t="s">
        <v>23</v>
      </c>
      <c r="F492" s="15" t="s">
        <v>24</v>
      </c>
      <c r="G492" s="16" t="str">
        <f t="shared" si="66"/>
        <v>C Industria manufacturera</v>
      </c>
      <c r="H492" s="14" t="str">
        <f t="shared" si="67"/>
        <v>14</v>
      </c>
      <c r="I492" s="17" t="s">
        <v>74</v>
      </c>
      <c r="J492" s="17" t="str">
        <f t="shared" si="64"/>
        <v>14 Fabricación de prendas de vestir</v>
      </c>
      <c r="K492" s="14" t="str">
        <f t="shared" si="68"/>
        <v>141</v>
      </c>
      <c r="L492" s="15" t="s">
        <v>75</v>
      </c>
      <c r="M492" s="18" t="s">
        <v>76</v>
      </c>
      <c r="N492" s="15" t="s">
        <v>75</v>
      </c>
      <c r="O492" s="16" t="str">
        <f t="shared" si="65"/>
        <v>1410 Fabricación de prendas de vestir, excepto prendas de piel</v>
      </c>
      <c r="P492" s="10">
        <v>834284</v>
      </c>
    </row>
    <row r="493" spans="1:16" s="12" customFormat="1" ht="24" x14ac:dyDescent="0.25">
      <c r="B493" s="13" t="s">
        <v>73</v>
      </c>
      <c r="C493" s="19">
        <v>2011</v>
      </c>
      <c r="D493" s="38">
        <v>20501977439</v>
      </c>
      <c r="E493" s="14" t="s">
        <v>23</v>
      </c>
      <c r="F493" s="15" t="s">
        <v>24</v>
      </c>
      <c r="G493" s="16" t="str">
        <f t="shared" si="66"/>
        <v>C Industria manufacturera</v>
      </c>
      <c r="H493" s="14" t="str">
        <f t="shared" si="67"/>
        <v>14</v>
      </c>
      <c r="I493" s="17" t="s">
        <v>74</v>
      </c>
      <c r="J493" s="17" t="str">
        <f t="shared" si="64"/>
        <v>14 Fabricación de prendas de vestir</v>
      </c>
      <c r="K493" s="14" t="str">
        <f t="shared" si="68"/>
        <v>141</v>
      </c>
      <c r="L493" s="15" t="s">
        <v>75</v>
      </c>
      <c r="M493" s="18" t="s">
        <v>76</v>
      </c>
      <c r="N493" s="15" t="s">
        <v>75</v>
      </c>
      <c r="O493" s="16" t="str">
        <f t="shared" si="65"/>
        <v>1410 Fabricación de prendas de vestir, excepto prendas de piel</v>
      </c>
      <c r="P493" s="10">
        <v>19381.89</v>
      </c>
    </row>
    <row r="494" spans="1:16" s="12" customFormat="1" ht="24" x14ac:dyDescent="0.25">
      <c r="B494" s="13" t="s">
        <v>73</v>
      </c>
      <c r="C494" s="19">
        <v>2015</v>
      </c>
      <c r="D494" s="38">
        <v>20501977439</v>
      </c>
      <c r="E494" s="14" t="s">
        <v>23</v>
      </c>
      <c r="F494" s="15" t="s">
        <v>24</v>
      </c>
      <c r="G494" s="16" t="str">
        <f t="shared" si="66"/>
        <v>C Industria manufacturera</v>
      </c>
      <c r="H494" s="14" t="str">
        <f t="shared" si="67"/>
        <v>14</v>
      </c>
      <c r="I494" s="17" t="s">
        <v>74</v>
      </c>
      <c r="J494" s="17" t="str">
        <f t="shared" si="64"/>
        <v>14 Fabricación de prendas de vestir</v>
      </c>
      <c r="K494" s="14" t="str">
        <f t="shared" si="68"/>
        <v>141</v>
      </c>
      <c r="L494" s="15" t="s">
        <v>75</v>
      </c>
      <c r="M494" s="18" t="s">
        <v>76</v>
      </c>
      <c r="N494" s="15" t="s">
        <v>75</v>
      </c>
      <c r="O494" s="16" t="str">
        <f t="shared" si="65"/>
        <v>1410 Fabricación de prendas de vestir, excepto prendas de piel</v>
      </c>
      <c r="P494" s="10">
        <v>27947.19</v>
      </c>
    </row>
    <row r="495" spans="1:16" s="12" customFormat="1" ht="24" x14ac:dyDescent="0.25">
      <c r="B495" s="13" t="s">
        <v>73</v>
      </c>
      <c r="C495" s="19">
        <v>2016</v>
      </c>
      <c r="D495" s="38">
        <v>20501977439</v>
      </c>
      <c r="E495" s="14" t="s">
        <v>23</v>
      </c>
      <c r="F495" s="15" t="s">
        <v>24</v>
      </c>
      <c r="G495" s="16" t="str">
        <f t="shared" si="66"/>
        <v>C Industria manufacturera</v>
      </c>
      <c r="H495" s="14" t="str">
        <f t="shared" si="67"/>
        <v>14</v>
      </c>
      <c r="I495" s="17" t="s">
        <v>74</v>
      </c>
      <c r="J495" s="17" t="str">
        <f t="shared" si="64"/>
        <v>14 Fabricación de prendas de vestir</v>
      </c>
      <c r="K495" s="14" t="str">
        <f t="shared" si="68"/>
        <v>141</v>
      </c>
      <c r="L495" s="15" t="s">
        <v>75</v>
      </c>
      <c r="M495" s="18" t="s">
        <v>76</v>
      </c>
      <c r="N495" s="15" t="s">
        <v>75</v>
      </c>
      <c r="O495" s="16" t="str">
        <f t="shared" si="65"/>
        <v>1410 Fabricación de prendas de vestir, excepto prendas de piel</v>
      </c>
      <c r="P495" s="10">
        <v>9545.86</v>
      </c>
    </row>
    <row r="496" spans="1:16" s="12" customFormat="1" ht="24" x14ac:dyDescent="0.25">
      <c r="B496" s="13" t="s">
        <v>73</v>
      </c>
      <c r="C496" s="19">
        <v>2017</v>
      </c>
      <c r="D496" s="38">
        <v>20501977439</v>
      </c>
      <c r="E496" s="14" t="s">
        <v>23</v>
      </c>
      <c r="F496" s="15" t="s">
        <v>24</v>
      </c>
      <c r="G496" s="16" t="str">
        <f t="shared" si="66"/>
        <v>C Industria manufacturera</v>
      </c>
      <c r="H496" s="14" t="str">
        <f t="shared" si="67"/>
        <v>14</v>
      </c>
      <c r="I496" s="17" t="s">
        <v>74</v>
      </c>
      <c r="J496" s="17" t="str">
        <f t="shared" si="64"/>
        <v>14 Fabricación de prendas de vestir</v>
      </c>
      <c r="K496" s="14" t="str">
        <f t="shared" si="68"/>
        <v>141</v>
      </c>
      <c r="L496" s="15" t="s">
        <v>75</v>
      </c>
      <c r="M496" s="18" t="s">
        <v>76</v>
      </c>
      <c r="N496" s="15" t="s">
        <v>75</v>
      </c>
      <c r="O496" s="16" t="str">
        <f t="shared" si="65"/>
        <v>1410 Fabricación de prendas de vestir, excepto prendas de piel</v>
      </c>
      <c r="P496" s="10">
        <v>41126.559999999998</v>
      </c>
    </row>
    <row r="497" spans="1:16" s="12" customFormat="1" ht="24" x14ac:dyDescent="0.25">
      <c r="B497" s="13" t="s">
        <v>73</v>
      </c>
      <c r="C497" s="19">
        <v>2019</v>
      </c>
      <c r="D497" s="38">
        <v>20501977439</v>
      </c>
      <c r="E497" s="14" t="s">
        <v>23</v>
      </c>
      <c r="F497" s="15" t="s">
        <v>24</v>
      </c>
      <c r="G497" s="16" t="str">
        <f t="shared" si="66"/>
        <v>C Industria manufacturera</v>
      </c>
      <c r="H497" s="14" t="str">
        <f t="shared" si="67"/>
        <v>14</v>
      </c>
      <c r="I497" s="17" t="s">
        <v>74</v>
      </c>
      <c r="J497" s="17" t="str">
        <f t="shared" si="64"/>
        <v>14 Fabricación de prendas de vestir</v>
      </c>
      <c r="K497" s="14" t="str">
        <f t="shared" si="68"/>
        <v>141</v>
      </c>
      <c r="L497" s="15" t="s">
        <v>75</v>
      </c>
      <c r="M497" s="18" t="s">
        <v>76</v>
      </c>
      <c r="N497" s="15" t="s">
        <v>75</v>
      </c>
      <c r="O497" s="16" t="str">
        <f t="shared" si="65"/>
        <v>1410 Fabricación de prendas de vestir, excepto prendas de piel</v>
      </c>
      <c r="P497" s="10">
        <v>224676.92</v>
      </c>
    </row>
    <row r="498" spans="1:16" s="12" customFormat="1" ht="24" x14ac:dyDescent="0.25">
      <c r="B498" s="13" t="s">
        <v>73</v>
      </c>
      <c r="C498" s="19">
        <v>2020</v>
      </c>
      <c r="D498" s="38">
        <v>20501977439</v>
      </c>
      <c r="E498" s="14" t="s">
        <v>23</v>
      </c>
      <c r="F498" s="15" t="s">
        <v>24</v>
      </c>
      <c r="G498" s="16" t="str">
        <f t="shared" si="66"/>
        <v>C Industria manufacturera</v>
      </c>
      <c r="H498" s="14" t="str">
        <f t="shared" si="67"/>
        <v>14</v>
      </c>
      <c r="I498" s="17" t="s">
        <v>74</v>
      </c>
      <c r="J498" s="17" t="str">
        <f t="shared" si="64"/>
        <v>14 Fabricación de prendas de vestir</v>
      </c>
      <c r="K498" s="14" t="str">
        <f t="shared" si="68"/>
        <v>141</v>
      </c>
      <c r="L498" s="15" t="s">
        <v>75</v>
      </c>
      <c r="M498" s="18" t="s">
        <v>76</v>
      </c>
      <c r="N498" s="15" t="s">
        <v>75</v>
      </c>
      <c r="O498" s="16" t="str">
        <f t="shared" si="65"/>
        <v>1410 Fabricación de prendas de vestir, excepto prendas de piel</v>
      </c>
      <c r="P498" s="10">
        <v>263290.84999999998</v>
      </c>
    </row>
    <row r="499" spans="1:16" s="12" customFormat="1" x14ac:dyDescent="0.25">
      <c r="B499" s="13" t="s">
        <v>133</v>
      </c>
      <c r="C499" s="19">
        <v>2009</v>
      </c>
      <c r="D499" s="38">
        <v>20503238463</v>
      </c>
      <c r="E499" s="14" t="s">
        <v>16</v>
      </c>
      <c r="F499" s="15" t="s">
        <v>17</v>
      </c>
      <c r="G499" s="16" t="str">
        <f t="shared" si="66"/>
        <v>B Explotación de minas y canteras</v>
      </c>
      <c r="H499" s="14" t="str">
        <f t="shared" si="67"/>
        <v>06</v>
      </c>
      <c r="I499" s="17" t="s">
        <v>68</v>
      </c>
      <c r="J499" s="17" t="str">
        <f t="shared" si="64"/>
        <v>06 Extracción de petróleo crudo y gas natural</v>
      </c>
      <c r="K499" s="14" t="str">
        <f t="shared" si="68"/>
        <v>061</v>
      </c>
      <c r="L499" s="15" t="s">
        <v>69</v>
      </c>
      <c r="M499" s="18" t="s">
        <v>70</v>
      </c>
      <c r="N499" s="15" t="s">
        <v>69</v>
      </c>
      <c r="O499" s="16" t="str">
        <f t="shared" si="65"/>
        <v>0610 Extracción de petróleo crudo</v>
      </c>
      <c r="P499" s="10">
        <v>18546.47</v>
      </c>
    </row>
    <row r="500" spans="1:16" s="12" customFormat="1" ht="36" x14ac:dyDescent="0.25">
      <c r="B500" s="13" t="s">
        <v>182</v>
      </c>
      <c r="C500" s="19">
        <v>2013</v>
      </c>
      <c r="D500" s="38">
        <v>20504299628</v>
      </c>
      <c r="E500" s="14" t="s">
        <v>42</v>
      </c>
      <c r="F500" s="15" t="s">
        <v>43</v>
      </c>
      <c r="G500" s="16" t="str">
        <f t="shared" si="66"/>
        <v>G Comercio al por mayor y al por menor; reparación de vehículos automotores y motocicletas</v>
      </c>
      <c r="H500" s="14" t="str">
        <f t="shared" si="67"/>
        <v>46</v>
      </c>
      <c r="I500" s="17" t="s">
        <v>44</v>
      </c>
      <c r="J500" s="17" t="str">
        <f t="shared" si="64"/>
        <v>46 Comercio al por mayor, excepto el de vehículos automotores y motocicletas</v>
      </c>
      <c r="K500" s="14" t="str">
        <f t="shared" si="68"/>
        <v>469</v>
      </c>
      <c r="L500" s="15" t="s">
        <v>45</v>
      </c>
      <c r="M500" s="18" t="s">
        <v>46</v>
      </c>
      <c r="N500" s="15" t="s">
        <v>45</v>
      </c>
      <c r="O500" s="16" t="str">
        <f t="shared" si="65"/>
        <v>4690 Venta al por mayor no especializada</v>
      </c>
      <c r="P500" s="10">
        <v>591.9</v>
      </c>
    </row>
    <row r="501" spans="1:16" s="12" customFormat="1" ht="36" x14ac:dyDescent="0.25">
      <c r="B501" s="13" t="s">
        <v>182</v>
      </c>
      <c r="C501" s="19">
        <v>2013</v>
      </c>
      <c r="D501" s="38">
        <v>20504299628</v>
      </c>
      <c r="E501" s="14" t="s">
        <v>42</v>
      </c>
      <c r="F501" s="15" t="s">
        <v>43</v>
      </c>
      <c r="G501" s="16" t="str">
        <f t="shared" si="66"/>
        <v>G Comercio al por mayor y al por menor; reparación de vehículos automotores y motocicletas</v>
      </c>
      <c r="H501" s="14" t="str">
        <f t="shared" si="67"/>
        <v>46</v>
      </c>
      <c r="I501" s="17" t="s">
        <v>44</v>
      </c>
      <c r="J501" s="17" t="str">
        <f t="shared" si="64"/>
        <v>46 Comercio al por mayor, excepto el de vehículos automotores y motocicletas</v>
      </c>
      <c r="K501" s="14" t="str">
        <f t="shared" si="68"/>
        <v>469</v>
      </c>
      <c r="L501" s="15" t="s">
        <v>45</v>
      </c>
      <c r="M501" s="18" t="s">
        <v>46</v>
      </c>
      <c r="N501" s="15" t="s">
        <v>45</v>
      </c>
      <c r="O501" s="16" t="str">
        <f t="shared" si="65"/>
        <v>4690 Venta al por mayor no especializada</v>
      </c>
      <c r="P501" s="10">
        <v>168.06</v>
      </c>
    </row>
    <row r="502" spans="1:16" s="12" customFormat="1" ht="24" x14ac:dyDescent="0.25">
      <c r="B502" s="13" t="s">
        <v>298</v>
      </c>
      <c r="C502" s="19">
        <v>2022</v>
      </c>
      <c r="D502" s="38">
        <v>20505792042</v>
      </c>
      <c r="E502" s="14" t="s">
        <v>16</v>
      </c>
      <c r="F502" s="15" t="s">
        <v>17</v>
      </c>
      <c r="G502" s="16" t="str">
        <f t="shared" si="66"/>
        <v>B Explotación de minas y canteras</v>
      </c>
      <c r="H502" s="14" t="str">
        <f t="shared" si="67"/>
        <v>07</v>
      </c>
      <c r="I502" s="17" t="s">
        <v>18</v>
      </c>
      <c r="J502" s="17" t="str">
        <f t="shared" si="64"/>
        <v>07 Extracción de minerales metalíferos</v>
      </c>
      <c r="K502" s="14" t="str">
        <f t="shared" si="68"/>
        <v>072</v>
      </c>
      <c r="L502" s="15" t="s">
        <v>19</v>
      </c>
      <c r="M502" s="18" t="s">
        <v>20</v>
      </c>
      <c r="N502" s="15" t="s">
        <v>21</v>
      </c>
      <c r="O502" s="16" t="str">
        <f t="shared" si="65"/>
        <v>0729 Extracción de otros minerales metalíferos no ferrosos</v>
      </c>
      <c r="P502" s="10">
        <v>4394.2199999999993</v>
      </c>
    </row>
    <row r="503" spans="1:16" s="12" customFormat="1" ht="24" x14ac:dyDescent="0.25">
      <c r="B503" s="13" t="s">
        <v>338</v>
      </c>
      <c r="C503" s="19">
        <v>2023</v>
      </c>
      <c r="D503" s="38">
        <v>20506285314</v>
      </c>
      <c r="E503" s="14" t="s">
        <v>16</v>
      </c>
      <c r="F503" s="15" t="s">
        <v>17</v>
      </c>
      <c r="G503" s="16" t="str">
        <f t="shared" si="66"/>
        <v>B Explotación de minas y canteras</v>
      </c>
      <c r="H503" s="14" t="str">
        <f t="shared" si="67"/>
        <v>07</v>
      </c>
      <c r="I503" s="17" t="s">
        <v>18</v>
      </c>
      <c r="J503" s="17" t="str">
        <f t="shared" si="64"/>
        <v>07 Extracción de minerales metalíferos</v>
      </c>
      <c r="K503" s="14" t="str">
        <f t="shared" si="68"/>
        <v>072</v>
      </c>
      <c r="L503" s="15" t="s">
        <v>19</v>
      </c>
      <c r="M503" s="18" t="s">
        <v>20</v>
      </c>
      <c r="N503" s="15" t="s">
        <v>21</v>
      </c>
      <c r="O503" s="16" t="str">
        <f t="shared" si="65"/>
        <v>0729 Extracción de otros minerales metalíferos no ferrosos</v>
      </c>
      <c r="P503" s="10">
        <v>7763489</v>
      </c>
    </row>
    <row r="504" spans="1:16" s="12" customFormat="1" ht="24" x14ac:dyDescent="0.25">
      <c r="B504" s="13" t="s">
        <v>338</v>
      </c>
      <c r="C504" s="19">
        <v>2024</v>
      </c>
      <c r="D504" s="38">
        <v>20506285314</v>
      </c>
      <c r="E504" s="14" t="s">
        <v>16</v>
      </c>
      <c r="F504" s="15" t="s">
        <v>17</v>
      </c>
      <c r="G504" s="16" t="str">
        <f t="shared" si="66"/>
        <v>B Explotación de minas y canteras</v>
      </c>
      <c r="H504" s="14" t="str">
        <f t="shared" si="67"/>
        <v>07</v>
      </c>
      <c r="I504" s="17" t="s">
        <v>18</v>
      </c>
      <c r="J504" s="17" t="str">
        <f t="shared" si="64"/>
        <v>07 Extracción de minerales metalíferos</v>
      </c>
      <c r="K504" s="14" t="str">
        <f t="shared" si="68"/>
        <v>072</v>
      </c>
      <c r="L504" s="15" t="s">
        <v>19</v>
      </c>
      <c r="M504" s="18" t="s">
        <v>20</v>
      </c>
      <c r="N504" s="15" t="s">
        <v>21</v>
      </c>
      <c r="O504" s="16" t="str">
        <f t="shared" si="65"/>
        <v>0729 Extracción de otros minerales metalíferos no ferrosos</v>
      </c>
      <c r="P504" s="10">
        <v>2777963.68</v>
      </c>
    </row>
    <row r="505" spans="1:16" s="12" customFormat="1" ht="24" x14ac:dyDescent="0.25">
      <c r="A505" s="12">
        <v>2</v>
      </c>
      <c r="B505" s="13" t="s">
        <v>338</v>
      </c>
      <c r="C505" s="19">
        <v>2025</v>
      </c>
      <c r="D505" s="38">
        <v>20506285314</v>
      </c>
      <c r="E505" s="14" t="s">
        <v>16</v>
      </c>
      <c r="F505" s="15" t="s">
        <v>17</v>
      </c>
      <c r="G505" s="16" t="str">
        <f t="shared" si="66"/>
        <v>B Explotación de minas y canteras</v>
      </c>
      <c r="H505" s="14" t="str">
        <f t="shared" si="67"/>
        <v>07</v>
      </c>
      <c r="I505" s="17" t="s">
        <v>18</v>
      </c>
      <c r="J505" s="17" t="str">
        <f t="shared" si="64"/>
        <v>07 Extracción de minerales metalíferos</v>
      </c>
      <c r="K505" s="14" t="str">
        <f t="shared" si="68"/>
        <v>072</v>
      </c>
      <c r="L505" s="15" t="s">
        <v>19</v>
      </c>
      <c r="M505" s="18" t="s">
        <v>20</v>
      </c>
      <c r="N505" s="15" t="s">
        <v>21</v>
      </c>
      <c r="O505" s="16" t="str">
        <f t="shared" si="65"/>
        <v>0729 Extracción de otros minerales metalíferos no ferrosos</v>
      </c>
      <c r="P505" s="10">
        <v>335760.88</v>
      </c>
    </row>
    <row r="506" spans="1:16" s="12" customFormat="1" x14ac:dyDescent="0.25">
      <c r="B506" s="13" t="s">
        <v>195</v>
      </c>
      <c r="C506" s="19">
        <v>2014</v>
      </c>
      <c r="D506" s="38">
        <v>20507659463</v>
      </c>
      <c r="E506" s="14" t="s">
        <v>196</v>
      </c>
      <c r="F506" s="15" t="s">
        <v>197</v>
      </c>
      <c r="G506" s="16" t="str">
        <f t="shared" si="66"/>
        <v>A Agricultura, ganadería, silvicultura y pesca</v>
      </c>
      <c r="H506" s="14" t="str">
        <f t="shared" si="67"/>
        <v>03</v>
      </c>
      <c r="I506" s="17" t="s">
        <v>198</v>
      </c>
      <c r="J506" s="17" t="str">
        <f t="shared" si="64"/>
        <v>03 Pesca y acuicultura</v>
      </c>
      <c r="K506" s="14" t="str">
        <f t="shared" si="68"/>
        <v>031</v>
      </c>
      <c r="L506" s="15" t="s">
        <v>199</v>
      </c>
      <c r="M506" s="18" t="s">
        <v>200</v>
      </c>
      <c r="N506" s="15" t="s">
        <v>201</v>
      </c>
      <c r="O506" s="16" t="str">
        <f t="shared" si="65"/>
        <v>0311 Pesca marítima</v>
      </c>
      <c r="P506" s="10">
        <v>12873.34</v>
      </c>
    </row>
    <row r="507" spans="1:16" s="12" customFormat="1" x14ac:dyDescent="0.25">
      <c r="B507" s="13" t="s">
        <v>195</v>
      </c>
      <c r="C507" s="19">
        <v>2016</v>
      </c>
      <c r="D507" s="38">
        <v>20507659463</v>
      </c>
      <c r="E507" s="14" t="s">
        <v>196</v>
      </c>
      <c r="F507" s="15" t="s">
        <v>197</v>
      </c>
      <c r="G507" s="16" t="str">
        <f t="shared" si="66"/>
        <v>A Agricultura, ganadería, silvicultura y pesca</v>
      </c>
      <c r="H507" s="14" t="str">
        <f t="shared" si="67"/>
        <v>03</v>
      </c>
      <c r="I507" s="17" t="s">
        <v>198</v>
      </c>
      <c r="J507" s="17" t="str">
        <f t="shared" si="64"/>
        <v>03 Pesca y acuicultura</v>
      </c>
      <c r="K507" s="14" t="str">
        <f t="shared" si="68"/>
        <v>031</v>
      </c>
      <c r="L507" s="15" t="s">
        <v>199</v>
      </c>
      <c r="M507" s="18" t="s">
        <v>200</v>
      </c>
      <c r="N507" s="15" t="s">
        <v>201</v>
      </c>
      <c r="O507" s="16" t="str">
        <f t="shared" si="65"/>
        <v>0311 Pesca marítima</v>
      </c>
      <c r="P507" s="10">
        <v>3450.2</v>
      </c>
    </row>
    <row r="508" spans="1:16" s="12" customFormat="1" x14ac:dyDescent="0.25">
      <c r="B508" s="13" t="s">
        <v>195</v>
      </c>
      <c r="C508" s="19">
        <v>2021</v>
      </c>
      <c r="D508" s="38">
        <v>20507659463</v>
      </c>
      <c r="E508" s="14" t="s">
        <v>196</v>
      </c>
      <c r="F508" s="15" t="s">
        <v>197</v>
      </c>
      <c r="G508" s="16" t="str">
        <f t="shared" si="66"/>
        <v>A Agricultura, ganadería, silvicultura y pesca</v>
      </c>
      <c r="H508" s="14" t="str">
        <f t="shared" si="67"/>
        <v>03</v>
      </c>
      <c r="I508" s="17" t="s">
        <v>198</v>
      </c>
      <c r="J508" s="17" t="str">
        <f t="shared" si="64"/>
        <v>03 Pesca y acuicultura</v>
      </c>
      <c r="K508" s="14" t="str">
        <f t="shared" si="68"/>
        <v>031</v>
      </c>
      <c r="L508" s="15" t="s">
        <v>199</v>
      </c>
      <c r="M508" s="18" t="s">
        <v>200</v>
      </c>
      <c r="N508" s="15" t="s">
        <v>201</v>
      </c>
      <c r="O508" s="16" t="str">
        <f t="shared" si="65"/>
        <v>0311 Pesca marítima</v>
      </c>
      <c r="P508" s="10">
        <v>1478.05</v>
      </c>
    </row>
    <row r="509" spans="1:16" s="12" customFormat="1" ht="24" x14ac:dyDescent="0.25">
      <c r="B509" s="13" t="s">
        <v>143</v>
      </c>
      <c r="C509" s="19">
        <v>2010</v>
      </c>
      <c r="D509" s="38">
        <v>20507828915</v>
      </c>
      <c r="E509" s="14" t="s">
        <v>16</v>
      </c>
      <c r="F509" s="15" t="s">
        <v>17</v>
      </c>
      <c r="G509" s="16" t="str">
        <f t="shared" si="66"/>
        <v>B Explotación de minas y canteras</v>
      </c>
      <c r="H509" s="14" t="str">
        <f t="shared" si="67"/>
        <v>07</v>
      </c>
      <c r="I509" s="17" t="s">
        <v>18</v>
      </c>
      <c r="J509" s="17" t="str">
        <f t="shared" si="64"/>
        <v>07 Extracción de minerales metalíferos</v>
      </c>
      <c r="K509" s="14" t="str">
        <f t="shared" si="68"/>
        <v>072</v>
      </c>
      <c r="L509" s="15" t="s">
        <v>19</v>
      </c>
      <c r="M509" s="18" t="s">
        <v>20</v>
      </c>
      <c r="N509" s="15" t="s">
        <v>21</v>
      </c>
      <c r="O509" s="16" t="str">
        <f t="shared" si="65"/>
        <v>0729 Extracción de otros minerales metalíferos no ferrosos</v>
      </c>
      <c r="P509" s="10">
        <v>65020.55</v>
      </c>
    </row>
    <row r="510" spans="1:16" s="12" customFormat="1" ht="24" x14ac:dyDescent="0.25">
      <c r="B510" s="13" t="s">
        <v>143</v>
      </c>
      <c r="C510" s="19">
        <v>2011</v>
      </c>
      <c r="D510" s="38">
        <v>20507828915</v>
      </c>
      <c r="E510" s="14" t="s">
        <v>16</v>
      </c>
      <c r="F510" s="15" t="s">
        <v>17</v>
      </c>
      <c r="G510" s="16" t="str">
        <f t="shared" si="66"/>
        <v>B Explotación de minas y canteras</v>
      </c>
      <c r="H510" s="14" t="str">
        <f t="shared" si="67"/>
        <v>07</v>
      </c>
      <c r="I510" s="17" t="s">
        <v>18</v>
      </c>
      <c r="J510" s="17" t="str">
        <f t="shared" si="64"/>
        <v>07 Extracción de minerales metalíferos</v>
      </c>
      <c r="K510" s="14" t="str">
        <f t="shared" si="68"/>
        <v>072</v>
      </c>
      <c r="L510" s="15" t="s">
        <v>19</v>
      </c>
      <c r="M510" s="18" t="s">
        <v>20</v>
      </c>
      <c r="N510" s="15" t="s">
        <v>21</v>
      </c>
      <c r="O510" s="16" t="str">
        <f t="shared" si="65"/>
        <v>0729 Extracción de otros minerales metalíferos no ferrosos</v>
      </c>
      <c r="P510" s="10">
        <v>7841126.4499999993</v>
      </c>
    </row>
    <row r="511" spans="1:16" s="12" customFormat="1" ht="24" x14ac:dyDescent="0.25">
      <c r="B511" s="13" t="s">
        <v>143</v>
      </c>
      <c r="C511" s="19">
        <v>2012</v>
      </c>
      <c r="D511" s="38">
        <v>20507828915</v>
      </c>
      <c r="E511" s="14" t="s">
        <v>16</v>
      </c>
      <c r="F511" s="15" t="s">
        <v>17</v>
      </c>
      <c r="G511" s="16" t="str">
        <f t="shared" si="66"/>
        <v>B Explotación de minas y canteras</v>
      </c>
      <c r="H511" s="14" t="str">
        <f t="shared" si="67"/>
        <v>07</v>
      </c>
      <c r="I511" s="17" t="s">
        <v>18</v>
      </c>
      <c r="J511" s="17" t="str">
        <f t="shared" si="64"/>
        <v>07 Extracción de minerales metalíferos</v>
      </c>
      <c r="K511" s="14" t="str">
        <f t="shared" si="68"/>
        <v>072</v>
      </c>
      <c r="L511" s="15" t="s">
        <v>19</v>
      </c>
      <c r="M511" s="18" t="s">
        <v>20</v>
      </c>
      <c r="N511" s="15" t="s">
        <v>21</v>
      </c>
      <c r="O511" s="16" t="str">
        <f t="shared" si="65"/>
        <v>0729 Extracción de otros minerales metalíferos no ferrosos</v>
      </c>
      <c r="P511" s="10">
        <v>9638006.25</v>
      </c>
    </row>
    <row r="512" spans="1:16" s="12" customFormat="1" ht="24" x14ac:dyDescent="0.25">
      <c r="B512" s="13" t="s">
        <v>143</v>
      </c>
      <c r="C512" s="19">
        <v>2013</v>
      </c>
      <c r="D512" s="38">
        <v>20507828915</v>
      </c>
      <c r="E512" s="14" t="s">
        <v>16</v>
      </c>
      <c r="F512" s="15" t="s">
        <v>17</v>
      </c>
      <c r="G512" s="16" t="str">
        <f t="shared" si="66"/>
        <v>B Explotación de minas y canteras</v>
      </c>
      <c r="H512" s="14" t="str">
        <f t="shared" si="67"/>
        <v>07</v>
      </c>
      <c r="I512" s="17" t="s">
        <v>18</v>
      </c>
      <c r="J512" s="17" t="str">
        <f t="shared" si="64"/>
        <v>07 Extracción de minerales metalíferos</v>
      </c>
      <c r="K512" s="14" t="str">
        <f t="shared" si="68"/>
        <v>072</v>
      </c>
      <c r="L512" s="15" t="s">
        <v>19</v>
      </c>
      <c r="M512" s="18" t="s">
        <v>20</v>
      </c>
      <c r="N512" s="15" t="s">
        <v>21</v>
      </c>
      <c r="O512" s="16" t="str">
        <f t="shared" si="65"/>
        <v>0729 Extracción de otros minerales metalíferos no ferrosos</v>
      </c>
      <c r="P512" s="10">
        <v>204075.25</v>
      </c>
    </row>
    <row r="513" spans="1:16" s="12" customFormat="1" ht="24" x14ac:dyDescent="0.25">
      <c r="B513" s="13" t="s">
        <v>143</v>
      </c>
      <c r="C513" s="19">
        <v>2014</v>
      </c>
      <c r="D513" s="38">
        <v>20507828915</v>
      </c>
      <c r="E513" s="14" t="s">
        <v>16</v>
      </c>
      <c r="F513" s="15" t="s">
        <v>17</v>
      </c>
      <c r="G513" s="16" t="str">
        <f t="shared" si="66"/>
        <v>B Explotación de minas y canteras</v>
      </c>
      <c r="H513" s="14" t="str">
        <f t="shared" si="67"/>
        <v>07</v>
      </c>
      <c r="I513" s="17" t="s">
        <v>18</v>
      </c>
      <c r="J513" s="17" t="str">
        <f t="shared" si="64"/>
        <v>07 Extracción de minerales metalíferos</v>
      </c>
      <c r="K513" s="14" t="str">
        <f t="shared" si="68"/>
        <v>072</v>
      </c>
      <c r="L513" s="15" t="s">
        <v>19</v>
      </c>
      <c r="M513" s="18" t="s">
        <v>20</v>
      </c>
      <c r="N513" s="15" t="s">
        <v>21</v>
      </c>
      <c r="O513" s="16" t="str">
        <f t="shared" si="65"/>
        <v>0729 Extracción de otros minerales metalíferos no ferrosos</v>
      </c>
      <c r="P513" s="10">
        <v>9319.49</v>
      </c>
    </row>
    <row r="514" spans="1:16" s="12" customFormat="1" ht="24" x14ac:dyDescent="0.25">
      <c r="B514" s="13" t="s">
        <v>143</v>
      </c>
      <c r="C514" s="19">
        <v>2015</v>
      </c>
      <c r="D514" s="38">
        <v>20507828915</v>
      </c>
      <c r="E514" s="14" t="s">
        <v>16</v>
      </c>
      <c r="F514" s="15" t="s">
        <v>17</v>
      </c>
      <c r="G514" s="16" t="str">
        <f t="shared" si="66"/>
        <v>B Explotación de minas y canteras</v>
      </c>
      <c r="H514" s="14" t="str">
        <f t="shared" si="67"/>
        <v>07</v>
      </c>
      <c r="I514" s="17" t="s">
        <v>18</v>
      </c>
      <c r="J514" s="17" t="str">
        <f t="shared" si="64"/>
        <v>07 Extracción de minerales metalíferos</v>
      </c>
      <c r="K514" s="14" t="str">
        <f t="shared" si="68"/>
        <v>072</v>
      </c>
      <c r="L514" s="15" t="s">
        <v>19</v>
      </c>
      <c r="M514" s="18" t="s">
        <v>20</v>
      </c>
      <c r="N514" s="15" t="s">
        <v>21</v>
      </c>
      <c r="O514" s="16" t="str">
        <f t="shared" si="65"/>
        <v>0729 Extracción de otros minerales metalíferos no ferrosos</v>
      </c>
      <c r="P514" s="10">
        <v>55877.599999999999</v>
      </c>
    </row>
    <row r="515" spans="1:16" s="12" customFormat="1" ht="24" x14ac:dyDescent="0.25">
      <c r="B515" s="13" t="s">
        <v>143</v>
      </c>
      <c r="C515" s="19">
        <v>2018</v>
      </c>
      <c r="D515" s="38">
        <v>20507828915</v>
      </c>
      <c r="E515" s="14" t="s">
        <v>16</v>
      </c>
      <c r="F515" s="15" t="s">
        <v>17</v>
      </c>
      <c r="G515" s="16" t="str">
        <f t="shared" si="66"/>
        <v>B Explotación de minas y canteras</v>
      </c>
      <c r="H515" s="14" t="str">
        <f t="shared" si="67"/>
        <v>07</v>
      </c>
      <c r="I515" s="17" t="s">
        <v>18</v>
      </c>
      <c r="J515" s="17" t="str">
        <f t="shared" si="64"/>
        <v>07 Extracción de minerales metalíferos</v>
      </c>
      <c r="K515" s="14" t="str">
        <f t="shared" si="68"/>
        <v>072</v>
      </c>
      <c r="L515" s="15" t="s">
        <v>19</v>
      </c>
      <c r="M515" s="18" t="s">
        <v>20</v>
      </c>
      <c r="N515" s="15" t="s">
        <v>21</v>
      </c>
      <c r="O515" s="16" t="str">
        <f t="shared" si="65"/>
        <v>0729 Extracción de otros minerales metalíferos no ferrosos</v>
      </c>
      <c r="P515" s="10">
        <v>2458.56</v>
      </c>
    </row>
    <row r="516" spans="1:16" s="12" customFormat="1" ht="24" x14ac:dyDescent="0.25">
      <c r="B516" s="13" t="s">
        <v>143</v>
      </c>
      <c r="C516" s="19">
        <v>2022</v>
      </c>
      <c r="D516" s="38">
        <v>20507828915</v>
      </c>
      <c r="E516" s="14" t="s">
        <v>16</v>
      </c>
      <c r="F516" s="15" t="s">
        <v>17</v>
      </c>
      <c r="G516" s="16" t="str">
        <f t="shared" si="66"/>
        <v>B Explotación de minas y canteras</v>
      </c>
      <c r="H516" s="14" t="str">
        <f t="shared" si="67"/>
        <v>08</v>
      </c>
      <c r="I516" s="17" t="s">
        <v>85</v>
      </c>
      <c r="J516" s="17" t="str">
        <f t="shared" si="64"/>
        <v>08 Explotación de otras minas y canteras</v>
      </c>
      <c r="K516" s="14" t="str">
        <f t="shared" si="68"/>
        <v>089</v>
      </c>
      <c r="L516" s="15" t="s">
        <v>86</v>
      </c>
      <c r="M516" s="18" t="s">
        <v>87</v>
      </c>
      <c r="N516" s="15" t="s">
        <v>88</v>
      </c>
      <c r="O516" s="16" t="str">
        <f t="shared" si="65"/>
        <v>0899 Explotación de otras mineras y canteras n.c.p</v>
      </c>
      <c r="P516" s="10">
        <v>31942.1</v>
      </c>
    </row>
    <row r="517" spans="1:16" s="12" customFormat="1" ht="24" x14ac:dyDescent="0.25">
      <c r="B517" s="13" t="s">
        <v>114</v>
      </c>
      <c r="C517" s="19">
        <v>2007</v>
      </c>
      <c r="D517" s="38">
        <v>20507845500</v>
      </c>
      <c r="E517" s="14" t="s">
        <v>16</v>
      </c>
      <c r="F517" s="15" t="s">
        <v>17</v>
      </c>
      <c r="G517" s="16" t="str">
        <f t="shared" si="66"/>
        <v>B Explotación de minas y canteras</v>
      </c>
      <c r="H517" s="14" t="str">
        <f t="shared" si="67"/>
        <v>07</v>
      </c>
      <c r="I517" s="17" t="s">
        <v>18</v>
      </c>
      <c r="J517" s="17" t="str">
        <f t="shared" si="64"/>
        <v>07 Extracción de minerales metalíferos</v>
      </c>
      <c r="K517" s="14" t="str">
        <f t="shared" si="68"/>
        <v>072</v>
      </c>
      <c r="L517" s="15" t="s">
        <v>19</v>
      </c>
      <c r="M517" s="18" t="s">
        <v>20</v>
      </c>
      <c r="N517" s="15" t="s">
        <v>21</v>
      </c>
      <c r="O517" s="16" t="str">
        <f t="shared" si="65"/>
        <v>0729 Extracción de otros minerales metalíferos no ferrosos</v>
      </c>
      <c r="P517" s="10">
        <v>11776.67</v>
      </c>
    </row>
    <row r="518" spans="1:16" s="12" customFormat="1" ht="24" x14ac:dyDescent="0.25">
      <c r="A518" s="23"/>
      <c r="B518" s="36" t="s">
        <v>165</v>
      </c>
      <c r="C518" s="19">
        <v>2011</v>
      </c>
      <c r="D518" s="38">
        <v>20507975977</v>
      </c>
      <c r="E518" s="25" t="s">
        <v>16</v>
      </c>
      <c r="F518" s="26" t="s">
        <v>17</v>
      </c>
      <c r="G518" s="27" t="str">
        <f t="shared" si="66"/>
        <v>B Explotación de minas y canteras</v>
      </c>
      <c r="H518" s="25" t="str">
        <f t="shared" si="67"/>
        <v>07</v>
      </c>
      <c r="I518" s="28" t="s">
        <v>18</v>
      </c>
      <c r="J518" s="28" t="str">
        <f t="shared" ref="J518:J549" si="69">H518&amp;" "&amp;I518</f>
        <v>07 Extracción de minerales metalíferos</v>
      </c>
      <c r="K518" s="25" t="str">
        <f t="shared" si="68"/>
        <v>072</v>
      </c>
      <c r="L518" s="26" t="s">
        <v>19</v>
      </c>
      <c r="M518" s="29" t="s">
        <v>20</v>
      </c>
      <c r="N518" s="26" t="s">
        <v>21</v>
      </c>
      <c r="O518" s="27" t="str">
        <f t="shared" ref="O518:O549" si="70">M518&amp;" "&amp;N518</f>
        <v>0729 Extracción de otros minerales metalíferos no ferrosos</v>
      </c>
      <c r="P518" s="10">
        <v>79594.98</v>
      </c>
    </row>
    <row r="519" spans="1:16" s="12" customFormat="1" ht="24" x14ac:dyDescent="0.25">
      <c r="A519" s="41"/>
      <c r="B519" s="49" t="s">
        <v>165</v>
      </c>
      <c r="C519" s="50">
        <v>2014</v>
      </c>
      <c r="D519" s="38">
        <v>20507975977</v>
      </c>
      <c r="E519" s="44" t="s">
        <v>16</v>
      </c>
      <c r="F519" s="42" t="s">
        <v>17</v>
      </c>
      <c r="G519" s="43" t="str">
        <f t="shared" si="66"/>
        <v>B Explotación de minas y canteras</v>
      </c>
      <c r="H519" s="44" t="str">
        <f t="shared" si="67"/>
        <v>07</v>
      </c>
      <c r="I519" s="45" t="s">
        <v>18</v>
      </c>
      <c r="J519" s="45" t="str">
        <f t="shared" si="69"/>
        <v>07 Extracción de minerales metalíferos</v>
      </c>
      <c r="K519" s="44" t="str">
        <f t="shared" si="68"/>
        <v>072</v>
      </c>
      <c r="L519" s="42" t="s">
        <v>19</v>
      </c>
      <c r="M519" s="46" t="s">
        <v>20</v>
      </c>
      <c r="N519" s="42" t="s">
        <v>21</v>
      </c>
      <c r="O519" s="43" t="str">
        <f t="shared" si="70"/>
        <v>0729 Extracción de otros minerales metalíferos no ferrosos</v>
      </c>
      <c r="P519" s="51">
        <v>1292405.58</v>
      </c>
    </row>
    <row r="520" spans="1:16" s="12" customFormat="1" ht="24" x14ac:dyDescent="0.25">
      <c r="B520" s="13" t="s">
        <v>165</v>
      </c>
      <c r="C520" s="19">
        <v>2017</v>
      </c>
      <c r="D520" s="38">
        <v>20507975977</v>
      </c>
      <c r="E520" s="14" t="s">
        <v>16</v>
      </c>
      <c r="F520" s="15" t="s">
        <v>17</v>
      </c>
      <c r="G520" s="16" t="str">
        <f t="shared" ref="G520:G551" si="71">E520&amp;" "&amp;F520</f>
        <v>B Explotación de minas y canteras</v>
      </c>
      <c r="H520" s="14" t="str">
        <f t="shared" ref="H520:H551" si="72">LEFT(K520,2)</f>
        <v>07</v>
      </c>
      <c r="I520" s="17" t="s">
        <v>18</v>
      </c>
      <c r="J520" s="17" t="str">
        <f t="shared" si="69"/>
        <v>07 Extracción de minerales metalíferos</v>
      </c>
      <c r="K520" s="14" t="str">
        <f t="shared" ref="K520:K551" si="73">LEFT(M520,3)</f>
        <v>072</v>
      </c>
      <c r="L520" s="15" t="s">
        <v>19</v>
      </c>
      <c r="M520" s="18" t="s">
        <v>20</v>
      </c>
      <c r="N520" s="15" t="s">
        <v>21</v>
      </c>
      <c r="O520" s="16" t="str">
        <f t="shared" si="70"/>
        <v>0729 Extracción de otros minerales metalíferos no ferrosos</v>
      </c>
      <c r="P520" s="10">
        <v>0</v>
      </c>
    </row>
    <row r="521" spans="1:16" s="12" customFormat="1" ht="24" x14ac:dyDescent="0.25">
      <c r="B521" s="13" t="s">
        <v>348</v>
      </c>
      <c r="C521" s="19">
        <v>2023</v>
      </c>
      <c r="D521" s="38">
        <v>20508972734</v>
      </c>
      <c r="E521" s="14" t="s">
        <v>16</v>
      </c>
      <c r="F521" s="15" t="s">
        <v>17</v>
      </c>
      <c r="G521" s="16" t="str">
        <f t="shared" si="71"/>
        <v>B Explotación de minas y canteras</v>
      </c>
      <c r="H521" s="14" t="str">
        <f t="shared" si="72"/>
        <v>07</v>
      </c>
      <c r="I521" s="17" t="s">
        <v>18</v>
      </c>
      <c r="J521" s="17" t="str">
        <f t="shared" si="69"/>
        <v>07 Extracción de minerales metalíferos</v>
      </c>
      <c r="K521" s="14" t="str">
        <f t="shared" si="73"/>
        <v>072</v>
      </c>
      <c r="L521" s="15" t="s">
        <v>19</v>
      </c>
      <c r="M521" s="18" t="s">
        <v>20</v>
      </c>
      <c r="N521" s="15" t="s">
        <v>21</v>
      </c>
      <c r="O521" s="16" t="str">
        <f t="shared" si="70"/>
        <v>0729 Extracción de otros minerales metalíferos no ferrosos</v>
      </c>
      <c r="P521" s="10">
        <v>1064349.5</v>
      </c>
    </row>
    <row r="522" spans="1:16" s="12" customFormat="1" ht="24" x14ac:dyDescent="0.25">
      <c r="B522" s="13" t="s">
        <v>348</v>
      </c>
      <c r="C522" s="19">
        <v>2024</v>
      </c>
      <c r="D522" s="38">
        <v>20508972734</v>
      </c>
      <c r="E522" s="14" t="s">
        <v>16</v>
      </c>
      <c r="F522" s="15" t="s">
        <v>17</v>
      </c>
      <c r="G522" s="16" t="str">
        <f t="shared" si="71"/>
        <v>B Explotación de minas y canteras</v>
      </c>
      <c r="H522" s="14" t="str">
        <f t="shared" si="72"/>
        <v>07</v>
      </c>
      <c r="I522" s="17" t="s">
        <v>18</v>
      </c>
      <c r="J522" s="17" t="str">
        <f t="shared" si="69"/>
        <v>07 Extracción de minerales metalíferos</v>
      </c>
      <c r="K522" s="14" t="str">
        <f t="shared" si="73"/>
        <v>072</v>
      </c>
      <c r="L522" s="15" t="s">
        <v>19</v>
      </c>
      <c r="M522" s="18" t="s">
        <v>20</v>
      </c>
      <c r="N522" s="15" t="s">
        <v>21</v>
      </c>
      <c r="O522" s="16" t="str">
        <f t="shared" si="70"/>
        <v>0729 Extracción de otros minerales metalíferos no ferrosos</v>
      </c>
      <c r="P522" s="10">
        <v>667902</v>
      </c>
    </row>
    <row r="523" spans="1:16" s="12" customFormat="1" ht="24" x14ac:dyDescent="0.25">
      <c r="A523" s="12">
        <v>30</v>
      </c>
      <c r="B523" s="13" t="s">
        <v>348</v>
      </c>
      <c r="C523" s="19">
        <v>2025</v>
      </c>
      <c r="D523" s="38">
        <v>20508972734</v>
      </c>
      <c r="E523" s="14" t="s">
        <v>16</v>
      </c>
      <c r="F523" s="15" t="s">
        <v>17</v>
      </c>
      <c r="G523" s="16" t="str">
        <f t="shared" si="71"/>
        <v>B Explotación de minas y canteras</v>
      </c>
      <c r="H523" s="14" t="str">
        <f t="shared" si="72"/>
        <v>07</v>
      </c>
      <c r="I523" s="17" t="s">
        <v>18</v>
      </c>
      <c r="J523" s="17" t="str">
        <f t="shared" si="69"/>
        <v>07 Extracción de minerales metalíferos</v>
      </c>
      <c r="K523" s="14" t="str">
        <f t="shared" si="73"/>
        <v>072</v>
      </c>
      <c r="L523" s="15" t="s">
        <v>19</v>
      </c>
      <c r="M523" s="18" t="s">
        <v>20</v>
      </c>
      <c r="N523" s="15" t="s">
        <v>21</v>
      </c>
      <c r="O523" s="16" t="str">
        <f t="shared" si="70"/>
        <v>0729 Extracción de otros minerales metalíferos no ferrosos</v>
      </c>
      <c r="P523" s="10">
        <v>1664884.84</v>
      </c>
    </row>
    <row r="524" spans="1:16" s="12" customFormat="1" ht="36" x14ac:dyDescent="0.25">
      <c r="B524" s="13" t="s">
        <v>295</v>
      </c>
      <c r="C524" s="19">
        <v>2022</v>
      </c>
      <c r="D524" s="38">
        <v>20510556594</v>
      </c>
      <c r="E524" s="14" t="s">
        <v>42</v>
      </c>
      <c r="F524" s="15" t="s">
        <v>43</v>
      </c>
      <c r="G524" s="16" t="str">
        <f t="shared" si="71"/>
        <v>G Comercio al por mayor y al por menor; reparación de vehículos automotores y motocicletas</v>
      </c>
      <c r="H524" s="14" t="str">
        <f t="shared" si="72"/>
        <v>46</v>
      </c>
      <c r="I524" s="17" t="s">
        <v>44</v>
      </c>
      <c r="J524" s="17" t="str">
        <f t="shared" si="69"/>
        <v>46 Comercio al por mayor, excepto el de vehículos automotores y motocicletas</v>
      </c>
      <c r="K524" s="14" t="str">
        <f t="shared" si="73"/>
        <v>464</v>
      </c>
      <c r="L524" s="15" t="s">
        <v>207</v>
      </c>
      <c r="M524" s="18" t="s">
        <v>208</v>
      </c>
      <c r="N524" s="15" t="s">
        <v>209</v>
      </c>
      <c r="O524" s="16" t="str">
        <f t="shared" si="70"/>
        <v>4641 Venta al por mayor de productos textiles, prendas de vestir y calzado</v>
      </c>
      <c r="P524" s="10">
        <v>258179.49</v>
      </c>
    </row>
    <row r="525" spans="1:16" s="12" customFormat="1" ht="36" x14ac:dyDescent="0.25">
      <c r="B525" s="13" t="s">
        <v>295</v>
      </c>
      <c r="C525" s="19">
        <v>2023</v>
      </c>
      <c r="D525" s="38">
        <v>20510556594</v>
      </c>
      <c r="E525" s="14" t="s">
        <v>42</v>
      </c>
      <c r="F525" s="15" t="s">
        <v>43</v>
      </c>
      <c r="G525" s="16" t="str">
        <f t="shared" si="71"/>
        <v>G Comercio al por mayor y al por menor; reparación de vehículos automotores y motocicletas</v>
      </c>
      <c r="H525" s="14" t="str">
        <f t="shared" si="72"/>
        <v>46</v>
      </c>
      <c r="I525" s="17" t="s">
        <v>44</v>
      </c>
      <c r="J525" s="17" t="str">
        <f t="shared" si="69"/>
        <v>46 Comercio al por mayor, excepto el de vehículos automotores y motocicletas</v>
      </c>
      <c r="K525" s="14" t="str">
        <f t="shared" si="73"/>
        <v>464</v>
      </c>
      <c r="L525" s="15" t="s">
        <v>207</v>
      </c>
      <c r="M525" s="18" t="s">
        <v>208</v>
      </c>
      <c r="N525" s="15" t="s">
        <v>209</v>
      </c>
      <c r="O525" s="16" t="str">
        <f t="shared" si="70"/>
        <v>4641 Venta al por mayor de productos textiles, prendas de vestir y calzado</v>
      </c>
      <c r="P525" s="10">
        <v>178643.65</v>
      </c>
    </row>
    <row r="526" spans="1:16" s="12" customFormat="1" ht="24" x14ac:dyDescent="0.25">
      <c r="B526" s="13" t="s">
        <v>367</v>
      </c>
      <c r="C526" s="19">
        <v>2024</v>
      </c>
      <c r="D526" s="38">
        <v>20511165181</v>
      </c>
      <c r="E526" s="14" t="s">
        <v>16</v>
      </c>
      <c r="F526" s="15" t="s">
        <v>17</v>
      </c>
      <c r="G526" s="16" t="str">
        <f t="shared" si="71"/>
        <v>B Explotación de minas y canteras</v>
      </c>
      <c r="H526" s="14" t="str">
        <f t="shared" si="72"/>
        <v>07</v>
      </c>
      <c r="I526" s="17" t="s">
        <v>18</v>
      </c>
      <c r="J526" s="17" t="str">
        <f t="shared" si="69"/>
        <v>07 Extracción de minerales metalíferos</v>
      </c>
      <c r="K526" s="14" t="str">
        <f t="shared" si="73"/>
        <v>072</v>
      </c>
      <c r="L526" s="15" t="s">
        <v>19</v>
      </c>
      <c r="M526" s="18" t="s">
        <v>20</v>
      </c>
      <c r="N526" s="15" t="s">
        <v>21</v>
      </c>
      <c r="O526" s="16" t="str">
        <f t="shared" si="70"/>
        <v>0729 Extracción de otros minerales metalíferos no ferrosos</v>
      </c>
      <c r="P526" s="10">
        <v>188170.28</v>
      </c>
    </row>
    <row r="527" spans="1:16" s="12" customFormat="1" ht="24" x14ac:dyDescent="0.25">
      <c r="A527" s="12">
        <v>36</v>
      </c>
      <c r="B527" s="13" t="s">
        <v>367</v>
      </c>
      <c r="C527" s="19">
        <v>2025</v>
      </c>
      <c r="D527" s="38">
        <v>20511165181</v>
      </c>
      <c r="E527" s="14" t="s">
        <v>16</v>
      </c>
      <c r="F527" s="15" t="s">
        <v>17</v>
      </c>
      <c r="G527" s="16" t="str">
        <f t="shared" si="71"/>
        <v>B Explotación de minas y canteras</v>
      </c>
      <c r="H527" s="14" t="str">
        <f t="shared" si="72"/>
        <v>07</v>
      </c>
      <c r="I527" s="17" t="s">
        <v>18</v>
      </c>
      <c r="J527" s="17" t="str">
        <f t="shared" si="69"/>
        <v>07 Extracción de minerales metalíferos</v>
      </c>
      <c r="K527" s="14" t="str">
        <f t="shared" si="73"/>
        <v>072</v>
      </c>
      <c r="L527" s="15" t="s">
        <v>19</v>
      </c>
      <c r="M527" s="18" t="s">
        <v>20</v>
      </c>
      <c r="N527" s="15" t="s">
        <v>21</v>
      </c>
      <c r="O527" s="16" t="str">
        <f t="shared" si="70"/>
        <v>0729 Extracción de otros minerales metalíferos no ferrosos</v>
      </c>
      <c r="P527" s="10">
        <v>1263260.8</v>
      </c>
    </row>
    <row r="528" spans="1:16" s="12" customFormat="1" ht="24" x14ac:dyDescent="0.25">
      <c r="B528" s="13" t="s">
        <v>138</v>
      </c>
      <c r="C528" s="19">
        <v>2010</v>
      </c>
      <c r="D528" s="38">
        <v>20511465061</v>
      </c>
      <c r="E528" s="14" t="s">
        <v>108</v>
      </c>
      <c r="F528" s="15" t="s">
        <v>109</v>
      </c>
      <c r="G528" s="16" t="str">
        <f t="shared" si="71"/>
        <v>H Transporte y almacenamiento</v>
      </c>
      <c r="H528" s="14" t="str">
        <f t="shared" si="72"/>
        <v>52</v>
      </c>
      <c r="I528" s="17" t="s">
        <v>110</v>
      </c>
      <c r="J528" s="17" t="str">
        <f t="shared" si="69"/>
        <v xml:space="preserve">52 Almacenamiento y actividades de apoyo al transporte </v>
      </c>
      <c r="K528" s="14" t="str">
        <f t="shared" si="73"/>
        <v>522</v>
      </c>
      <c r="L528" s="15" t="s">
        <v>139</v>
      </c>
      <c r="M528" s="18" t="s">
        <v>140</v>
      </c>
      <c r="N528" s="15" t="s">
        <v>141</v>
      </c>
      <c r="O528" s="16" t="str">
        <f t="shared" si="70"/>
        <v>5221 Actividades de servicios vinculadas al transporte terrestre</v>
      </c>
      <c r="P528" s="10">
        <v>335842.08</v>
      </c>
    </row>
    <row r="529" spans="2:16" s="12" customFormat="1" ht="24" x14ac:dyDescent="0.25">
      <c r="B529" s="13" t="s">
        <v>188</v>
      </c>
      <c r="C529" s="19">
        <v>2014</v>
      </c>
      <c r="D529" s="38">
        <v>20512049991</v>
      </c>
      <c r="E529" s="14" t="s">
        <v>161</v>
      </c>
      <c r="F529" s="15" t="s">
        <v>189</v>
      </c>
      <c r="G529" s="16" t="str">
        <f t="shared" si="71"/>
        <v>F Construcción</v>
      </c>
      <c r="H529" s="14" t="str">
        <f t="shared" si="72"/>
        <v>43</v>
      </c>
      <c r="I529" s="17" t="s">
        <v>190</v>
      </c>
      <c r="J529" s="17" t="str">
        <f t="shared" si="69"/>
        <v>43 Actividades especializadas de construcción</v>
      </c>
      <c r="K529" s="14" t="str">
        <f t="shared" si="73"/>
        <v>439</v>
      </c>
      <c r="L529" s="15" t="s">
        <v>191</v>
      </c>
      <c r="M529" s="18" t="s">
        <v>192</v>
      </c>
      <c r="N529" s="15" t="s">
        <v>191</v>
      </c>
      <c r="O529" s="16" t="str">
        <f t="shared" si="70"/>
        <v>4390 Otras actividades especializadas de construcción</v>
      </c>
      <c r="P529" s="10">
        <v>26467.86</v>
      </c>
    </row>
    <row r="530" spans="2:16" s="12" customFormat="1" ht="36" x14ac:dyDescent="0.25">
      <c r="B530" s="13" t="s">
        <v>312</v>
      </c>
      <c r="C530" s="19">
        <v>2022</v>
      </c>
      <c r="D530" s="38">
        <v>20513251506</v>
      </c>
      <c r="E530" s="14" t="s">
        <v>42</v>
      </c>
      <c r="F530" s="15" t="s">
        <v>43</v>
      </c>
      <c r="G530" s="16" t="str">
        <f t="shared" si="71"/>
        <v>G Comercio al por mayor y al por menor; reparación de vehículos automotores y motocicletas</v>
      </c>
      <c r="H530" s="14" t="str">
        <f t="shared" si="72"/>
        <v>46</v>
      </c>
      <c r="I530" s="17" t="s">
        <v>44</v>
      </c>
      <c r="J530" s="17" t="str">
        <f t="shared" si="69"/>
        <v>46 Comercio al por mayor, excepto el de vehículos automotores y motocicletas</v>
      </c>
      <c r="K530" s="14" t="str">
        <f t="shared" si="73"/>
        <v>466</v>
      </c>
      <c r="L530" s="15" t="s">
        <v>59</v>
      </c>
      <c r="M530" s="18" t="s">
        <v>145</v>
      </c>
      <c r="N530" s="15" t="s">
        <v>146</v>
      </c>
      <c r="O530" s="16" t="str">
        <f t="shared" si="70"/>
        <v>4661 Venta al por mayor de combustible sólidos, líquidos y gaseosos y productos conexos</v>
      </c>
      <c r="P530" s="10">
        <v>1468145.72</v>
      </c>
    </row>
    <row r="531" spans="2:16" s="12" customFormat="1" ht="36" x14ac:dyDescent="0.25">
      <c r="B531" s="13" t="s">
        <v>312</v>
      </c>
      <c r="C531" s="19">
        <v>2023</v>
      </c>
      <c r="D531" s="38">
        <v>20513251506</v>
      </c>
      <c r="E531" s="14" t="s">
        <v>42</v>
      </c>
      <c r="F531" s="15" t="s">
        <v>43</v>
      </c>
      <c r="G531" s="16" t="str">
        <f t="shared" si="71"/>
        <v>G Comercio al por mayor y al por menor; reparación de vehículos automotores y motocicletas</v>
      </c>
      <c r="H531" s="14" t="str">
        <f t="shared" si="72"/>
        <v>46</v>
      </c>
      <c r="I531" s="17" t="s">
        <v>44</v>
      </c>
      <c r="J531" s="17" t="str">
        <f t="shared" si="69"/>
        <v>46 Comercio al por mayor, excepto el de vehículos automotores y motocicletas</v>
      </c>
      <c r="K531" s="14" t="str">
        <f t="shared" si="73"/>
        <v>466</v>
      </c>
      <c r="L531" s="15" t="s">
        <v>59</v>
      </c>
      <c r="M531" s="18" t="s">
        <v>145</v>
      </c>
      <c r="N531" s="15" t="s">
        <v>146</v>
      </c>
      <c r="O531" s="16" t="str">
        <f t="shared" si="70"/>
        <v>4661 Venta al por mayor de combustible sólidos, líquidos y gaseosos y productos conexos</v>
      </c>
      <c r="P531" s="10">
        <v>1730501.55</v>
      </c>
    </row>
    <row r="532" spans="2:16" s="12" customFormat="1" ht="24" x14ac:dyDescent="0.25">
      <c r="B532" s="13" t="s">
        <v>166</v>
      </c>
      <c r="C532" s="19">
        <v>2011</v>
      </c>
      <c r="D532" s="38">
        <v>20513798611</v>
      </c>
      <c r="E532" s="14" t="s">
        <v>16</v>
      </c>
      <c r="F532" s="15" t="s">
        <v>17</v>
      </c>
      <c r="G532" s="16" t="str">
        <f t="shared" si="71"/>
        <v>B Explotación de minas y canteras</v>
      </c>
      <c r="H532" s="14" t="str">
        <f t="shared" si="72"/>
        <v>07</v>
      </c>
      <c r="I532" s="17" t="s">
        <v>18</v>
      </c>
      <c r="J532" s="17" t="str">
        <f t="shared" si="69"/>
        <v>07 Extracción de minerales metalíferos</v>
      </c>
      <c r="K532" s="14" t="str">
        <f t="shared" si="73"/>
        <v>072</v>
      </c>
      <c r="L532" s="15" t="s">
        <v>19</v>
      </c>
      <c r="M532" s="18" t="s">
        <v>20</v>
      </c>
      <c r="N532" s="15" t="s">
        <v>21</v>
      </c>
      <c r="O532" s="16" t="str">
        <f t="shared" si="70"/>
        <v>0729 Extracción de otros minerales metalíferos no ferrosos</v>
      </c>
      <c r="P532" s="10">
        <v>4591938.5999999996</v>
      </c>
    </row>
    <row r="533" spans="2:16" s="12" customFormat="1" ht="24" x14ac:dyDescent="0.25">
      <c r="B533" s="13" t="s">
        <v>166</v>
      </c>
      <c r="C533" s="19">
        <v>2012</v>
      </c>
      <c r="D533" s="38">
        <v>20513798611</v>
      </c>
      <c r="E533" s="14" t="s">
        <v>16</v>
      </c>
      <c r="F533" s="15" t="s">
        <v>17</v>
      </c>
      <c r="G533" s="16" t="str">
        <f t="shared" si="71"/>
        <v>B Explotación de minas y canteras</v>
      </c>
      <c r="H533" s="14" t="str">
        <f t="shared" si="72"/>
        <v>07</v>
      </c>
      <c r="I533" s="17" t="s">
        <v>18</v>
      </c>
      <c r="J533" s="17" t="str">
        <f t="shared" si="69"/>
        <v>07 Extracción de minerales metalíferos</v>
      </c>
      <c r="K533" s="14" t="str">
        <f t="shared" si="73"/>
        <v>072</v>
      </c>
      <c r="L533" s="15" t="s">
        <v>19</v>
      </c>
      <c r="M533" s="18" t="s">
        <v>20</v>
      </c>
      <c r="N533" s="15" t="s">
        <v>21</v>
      </c>
      <c r="O533" s="16" t="str">
        <f t="shared" si="70"/>
        <v>0729 Extracción de otros minerales metalíferos no ferrosos</v>
      </c>
      <c r="P533" s="10">
        <v>13516435.129999999</v>
      </c>
    </row>
    <row r="534" spans="2:16" s="12" customFormat="1" x14ac:dyDescent="0.25">
      <c r="B534" s="13" t="s">
        <v>210</v>
      </c>
      <c r="C534" s="19">
        <v>2015</v>
      </c>
      <c r="D534" s="38">
        <v>20516256843</v>
      </c>
      <c r="E534" s="14" t="s">
        <v>23</v>
      </c>
      <c r="F534" s="15" t="s">
        <v>24</v>
      </c>
      <c r="G534" s="16" t="str">
        <f t="shared" si="71"/>
        <v>C Industria manufacturera</v>
      </c>
      <c r="H534" s="14" t="str">
        <f t="shared" si="72"/>
        <v>22</v>
      </c>
      <c r="I534" s="17" t="s">
        <v>82</v>
      </c>
      <c r="J534" s="17" t="str">
        <f t="shared" si="69"/>
        <v>22 Fabricación de productos de plásticos y caucho</v>
      </c>
      <c r="K534" s="14" t="str">
        <f t="shared" si="73"/>
        <v>222</v>
      </c>
      <c r="L534" s="15" t="s">
        <v>83</v>
      </c>
      <c r="M534" s="18" t="s">
        <v>84</v>
      </c>
      <c r="N534" s="15" t="s">
        <v>83</v>
      </c>
      <c r="O534" s="16" t="str">
        <f t="shared" si="70"/>
        <v>2220 Fabricación de productos de plástico</v>
      </c>
      <c r="P534" s="10">
        <v>14013.05</v>
      </c>
    </row>
    <row r="535" spans="2:16" s="12" customFormat="1" x14ac:dyDescent="0.25">
      <c r="B535" s="13" t="s">
        <v>210</v>
      </c>
      <c r="C535" s="19">
        <v>2017</v>
      </c>
      <c r="D535" s="38">
        <v>20516256843</v>
      </c>
      <c r="E535" s="14" t="s">
        <v>23</v>
      </c>
      <c r="F535" s="15" t="s">
        <v>24</v>
      </c>
      <c r="G535" s="16" t="str">
        <f t="shared" si="71"/>
        <v>C Industria manufacturera</v>
      </c>
      <c r="H535" s="14" t="str">
        <f t="shared" si="72"/>
        <v>22</v>
      </c>
      <c r="I535" s="17" t="s">
        <v>82</v>
      </c>
      <c r="J535" s="17" t="str">
        <f t="shared" si="69"/>
        <v>22 Fabricación de productos de plásticos y caucho</v>
      </c>
      <c r="K535" s="14" t="str">
        <f t="shared" si="73"/>
        <v>222</v>
      </c>
      <c r="L535" s="15" t="s">
        <v>83</v>
      </c>
      <c r="M535" s="18" t="s">
        <v>84</v>
      </c>
      <c r="N535" s="15" t="s">
        <v>83</v>
      </c>
      <c r="O535" s="16" t="str">
        <f t="shared" si="70"/>
        <v>2220 Fabricación de productos de plástico</v>
      </c>
      <c r="P535" s="10">
        <v>82100.02</v>
      </c>
    </row>
    <row r="536" spans="2:16" s="12" customFormat="1" ht="36" x14ac:dyDescent="0.25">
      <c r="B536" s="13" t="s">
        <v>311</v>
      </c>
      <c r="C536" s="19">
        <v>2022</v>
      </c>
      <c r="D536" s="38">
        <v>20517056708</v>
      </c>
      <c r="E536" s="14" t="s">
        <v>42</v>
      </c>
      <c r="F536" s="15" t="s">
        <v>43</v>
      </c>
      <c r="G536" s="16" t="str">
        <f t="shared" si="71"/>
        <v>G Comercio al por mayor y al por menor; reparación de vehículos automotores y motocicletas</v>
      </c>
      <c r="H536" s="14" t="str">
        <f t="shared" si="72"/>
        <v>46</v>
      </c>
      <c r="I536" s="17" t="s">
        <v>44</v>
      </c>
      <c r="J536" s="17" t="str">
        <f t="shared" si="69"/>
        <v>46 Comercio al por mayor, excepto el de vehículos automotores y motocicletas</v>
      </c>
      <c r="K536" s="14" t="str">
        <f t="shared" si="73"/>
        <v>469</v>
      </c>
      <c r="L536" s="15" t="s">
        <v>45</v>
      </c>
      <c r="M536" s="18" t="s">
        <v>46</v>
      </c>
      <c r="N536" s="15" t="s">
        <v>45</v>
      </c>
      <c r="O536" s="16" t="str">
        <f t="shared" si="70"/>
        <v>4690 Venta al por mayor no especializada</v>
      </c>
      <c r="P536" s="10">
        <v>29079.43</v>
      </c>
    </row>
    <row r="537" spans="2:16" s="12" customFormat="1" ht="24" x14ac:dyDescent="0.25">
      <c r="B537" s="13" t="s">
        <v>222</v>
      </c>
      <c r="C537" s="19">
        <v>2016</v>
      </c>
      <c r="D537" s="38">
        <v>20517406610</v>
      </c>
      <c r="E537" s="14" t="s">
        <v>148</v>
      </c>
      <c r="F537" s="15" t="s">
        <v>149</v>
      </c>
      <c r="G537" s="16" t="str">
        <f t="shared" si="71"/>
        <v>K Actividades financieras y de seguros</v>
      </c>
      <c r="H537" s="14" t="str">
        <f t="shared" si="72"/>
        <v>64</v>
      </c>
      <c r="I537" s="17" t="s">
        <v>150</v>
      </c>
      <c r="J537" s="17" t="str">
        <f t="shared" si="69"/>
        <v>64 Actividades de servicios financieros, excepto las de seguros y fondos de pensiones</v>
      </c>
      <c r="K537" s="14" t="str">
        <f t="shared" si="73"/>
        <v>641</v>
      </c>
      <c r="L537" s="15" t="s">
        <v>223</v>
      </c>
      <c r="M537" s="18" t="s">
        <v>224</v>
      </c>
      <c r="N537" s="15" t="s">
        <v>225</v>
      </c>
      <c r="O537" s="16" t="str">
        <f t="shared" si="70"/>
        <v>6419 Otros tipos de intermediación monetaria</v>
      </c>
      <c r="P537" s="10">
        <v>131604</v>
      </c>
    </row>
    <row r="538" spans="2:16" s="12" customFormat="1" ht="24" x14ac:dyDescent="0.25">
      <c r="B538" s="13" t="s">
        <v>222</v>
      </c>
      <c r="C538" s="19">
        <v>2016</v>
      </c>
      <c r="D538" s="38">
        <v>20517406610</v>
      </c>
      <c r="E538" s="14" t="s">
        <v>148</v>
      </c>
      <c r="F538" s="15" t="s">
        <v>149</v>
      </c>
      <c r="G538" s="16" t="str">
        <f t="shared" si="71"/>
        <v>K Actividades financieras y de seguros</v>
      </c>
      <c r="H538" s="14" t="str">
        <f t="shared" si="72"/>
        <v>64</v>
      </c>
      <c r="I538" s="17" t="s">
        <v>150</v>
      </c>
      <c r="J538" s="17" t="str">
        <f t="shared" si="69"/>
        <v>64 Actividades de servicios financieros, excepto las de seguros y fondos de pensiones</v>
      </c>
      <c r="K538" s="14" t="str">
        <f t="shared" si="73"/>
        <v>641</v>
      </c>
      <c r="L538" s="15" t="s">
        <v>223</v>
      </c>
      <c r="M538" s="18" t="s">
        <v>224</v>
      </c>
      <c r="N538" s="15" t="s">
        <v>225</v>
      </c>
      <c r="O538" s="16" t="str">
        <f t="shared" si="70"/>
        <v>6419 Otros tipos de intermediación monetaria</v>
      </c>
      <c r="P538" s="10">
        <v>720.33</v>
      </c>
    </row>
    <row r="539" spans="2:16" s="12" customFormat="1" ht="24" x14ac:dyDescent="0.25">
      <c r="B539" s="13" t="s">
        <v>347</v>
      </c>
      <c r="C539" s="19">
        <v>2024</v>
      </c>
      <c r="D539" s="38">
        <v>20518630891</v>
      </c>
      <c r="E539" s="14" t="s">
        <v>48</v>
      </c>
      <c r="F539" s="15" t="s">
        <v>49</v>
      </c>
      <c r="G539" s="16" t="str">
        <f t="shared" si="71"/>
        <v>D Suministro de electricidad, gas, vapor y aire acondicionado</v>
      </c>
      <c r="H539" s="14" t="str">
        <f t="shared" si="72"/>
        <v>35</v>
      </c>
      <c r="I539" s="17" t="s">
        <v>49</v>
      </c>
      <c r="J539" s="17" t="str">
        <f t="shared" si="69"/>
        <v>35 Suministro de electricidad, gas, vapor y aire acondicionado</v>
      </c>
      <c r="K539" s="14" t="str">
        <f t="shared" si="73"/>
        <v>351</v>
      </c>
      <c r="L539" s="15" t="s">
        <v>50</v>
      </c>
      <c r="M539" s="18" t="s">
        <v>51</v>
      </c>
      <c r="N539" s="15" t="s">
        <v>50</v>
      </c>
      <c r="O539" s="16" t="str">
        <f t="shared" si="70"/>
        <v>3510 Generación, transmisión y distribución de energía eléctrica</v>
      </c>
      <c r="P539" s="10">
        <v>1049183.77</v>
      </c>
    </row>
    <row r="540" spans="2:16" s="12" customFormat="1" ht="36" x14ac:dyDescent="0.25">
      <c r="B540" s="13" t="s">
        <v>297</v>
      </c>
      <c r="C540" s="19">
        <v>2022</v>
      </c>
      <c r="D540" s="38">
        <v>20519161151</v>
      </c>
      <c r="E540" s="14" t="s">
        <v>42</v>
      </c>
      <c r="F540" s="15" t="s">
        <v>43</v>
      </c>
      <c r="G540" s="16" t="str">
        <f t="shared" si="71"/>
        <v>G Comercio al por mayor y al por menor; reparación de vehículos automotores y motocicletas</v>
      </c>
      <c r="H540" s="14" t="str">
        <f t="shared" si="72"/>
        <v>46</v>
      </c>
      <c r="I540" s="17" t="s">
        <v>44</v>
      </c>
      <c r="J540" s="17" t="str">
        <f t="shared" si="69"/>
        <v>46 Comercio al por mayor, excepto el de vehículos automotores y motocicletas</v>
      </c>
      <c r="K540" s="14" t="str">
        <f t="shared" si="73"/>
        <v>466</v>
      </c>
      <c r="L540" s="15" t="s">
        <v>59</v>
      </c>
      <c r="M540" s="18" t="s">
        <v>60</v>
      </c>
      <c r="N540" s="15" t="s">
        <v>61</v>
      </c>
      <c r="O540" s="16" t="str">
        <f t="shared" si="70"/>
        <v>4663 Venta al por mayor de materiales de construcción, artículos de ferretería y equipo y materiales de fontanería y calefacción</v>
      </c>
      <c r="P540" s="10">
        <v>1025.6500000000001</v>
      </c>
    </row>
    <row r="541" spans="2:16" s="12" customFormat="1" ht="24" x14ac:dyDescent="0.25">
      <c r="B541" s="13" t="s">
        <v>203</v>
      </c>
      <c r="C541" s="19">
        <v>2014</v>
      </c>
      <c r="D541" s="38">
        <v>20521559838</v>
      </c>
      <c r="E541" s="14" t="s">
        <v>161</v>
      </c>
      <c r="F541" s="15" t="s">
        <v>189</v>
      </c>
      <c r="G541" s="16" t="str">
        <f t="shared" si="71"/>
        <v>F Construcción</v>
      </c>
      <c r="H541" s="14" t="str">
        <f t="shared" si="72"/>
        <v>43</v>
      </c>
      <c r="I541" s="17" t="s">
        <v>190</v>
      </c>
      <c r="J541" s="17" t="str">
        <f t="shared" si="69"/>
        <v>43 Actividades especializadas de construcción</v>
      </c>
      <c r="K541" s="14" t="str">
        <f t="shared" si="73"/>
        <v>439</v>
      </c>
      <c r="L541" s="15" t="s">
        <v>191</v>
      </c>
      <c r="M541" s="18" t="s">
        <v>192</v>
      </c>
      <c r="N541" s="15" t="s">
        <v>191</v>
      </c>
      <c r="O541" s="16" t="str">
        <f t="shared" si="70"/>
        <v>4390 Otras actividades especializadas de construcción</v>
      </c>
      <c r="P541" s="10">
        <v>5840.55</v>
      </c>
    </row>
    <row r="542" spans="2:16" s="12" customFormat="1" ht="48" x14ac:dyDescent="0.25">
      <c r="B542" s="13" t="s">
        <v>259</v>
      </c>
      <c r="C542" s="19">
        <v>2019</v>
      </c>
      <c r="D542" s="38">
        <v>20521911221</v>
      </c>
      <c r="E542" s="14" t="s">
        <v>23</v>
      </c>
      <c r="F542" s="15" t="s">
        <v>24</v>
      </c>
      <c r="G542" s="16" t="str">
        <f t="shared" si="71"/>
        <v>C Industria manufacturera</v>
      </c>
      <c r="H542" s="14" t="str">
        <f t="shared" si="72"/>
        <v>20</v>
      </c>
      <c r="I542" s="17" t="s">
        <v>260</v>
      </c>
      <c r="J542" s="17" t="str">
        <f t="shared" si="69"/>
        <v>20 Fabricación de sustancias y productos químicos</v>
      </c>
      <c r="K542" s="14" t="str">
        <f t="shared" si="73"/>
        <v>201</v>
      </c>
      <c r="L542" s="15" t="s">
        <v>261</v>
      </c>
      <c r="M542" s="18" t="s">
        <v>262</v>
      </c>
      <c r="N542" s="15" t="s">
        <v>263</v>
      </c>
      <c r="O542" s="16" t="str">
        <f t="shared" si="70"/>
        <v>2011 Fabricación de sustancias químicas básicas</v>
      </c>
      <c r="P542" s="10">
        <v>26516.25</v>
      </c>
    </row>
    <row r="543" spans="2:16" s="12" customFormat="1" ht="48" x14ac:dyDescent="0.25">
      <c r="B543" s="13" t="s">
        <v>259</v>
      </c>
      <c r="C543" s="19">
        <v>2020</v>
      </c>
      <c r="D543" s="38">
        <v>20521911221</v>
      </c>
      <c r="E543" s="14" t="s">
        <v>23</v>
      </c>
      <c r="F543" s="15" t="s">
        <v>24</v>
      </c>
      <c r="G543" s="16" t="str">
        <f t="shared" si="71"/>
        <v>C Industria manufacturera</v>
      </c>
      <c r="H543" s="14" t="str">
        <f t="shared" si="72"/>
        <v>20</v>
      </c>
      <c r="I543" s="17" t="s">
        <v>260</v>
      </c>
      <c r="J543" s="17" t="str">
        <f t="shared" si="69"/>
        <v>20 Fabricación de sustancias y productos químicos</v>
      </c>
      <c r="K543" s="14" t="str">
        <f t="shared" si="73"/>
        <v>201</v>
      </c>
      <c r="L543" s="15" t="s">
        <v>261</v>
      </c>
      <c r="M543" s="18" t="s">
        <v>262</v>
      </c>
      <c r="N543" s="15" t="s">
        <v>263</v>
      </c>
      <c r="O543" s="16" t="str">
        <f t="shared" si="70"/>
        <v>2011 Fabricación de sustancias químicas básicas</v>
      </c>
      <c r="P543" s="10">
        <v>102251.13</v>
      </c>
    </row>
    <row r="544" spans="2:16" s="12" customFormat="1" ht="48" x14ac:dyDescent="0.25">
      <c r="B544" s="13" t="s">
        <v>259</v>
      </c>
      <c r="C544" s="19">
        <v>2021</v>
      </c>
      <c r="D544" s="38">
        <v>20521911221</v>
      </c>
      <c r="E544" s="14" t="s">
        <v>23</v>
      </c>
      <c r="F544" s="15" t="s">
        <v>24</v>
      </c>
      <c r="G544" s="16" t="str">
        <f t="shared" si="71"/>
        <v>C Industria manufacturera</v>
      </c>
      <c r="H544" s="14" t="str">
        <f t="shared" si="72"/>
        <v>20</v>
      </c>
      <c r="I544" s="17" t="s">
        <v>260</v>
      </c>
      <c r="J544" s="17" t="str">
        <f t="shared" si="69"/>
        <v>20 Fabricación de sustancias y productos químicos</v>
      </c>
      <c r="K544" s="14" t="str">
        <f t="shared" si="73"/>
        <v>201</v>
      </c>
      <c r="L544" s="15" t="s">
        <v>261</v>
      </c>
      <c r="M544" s="18" t="s">
        <v>262</v>
      </c>
      <c r="N544" s="15" t="s">
        <v>263</v>
      </c>
      <c r="O544" s="16" t="str">
        <f t="shared" si="70"/>
        <v>2011 Fabricación de sustancias químicas básicas</v>
      </c>
      <c r="P544" s="10">
        <v>87703.7</v>
      </c>
    </row>
    <row r="545" spans="1:16" s="12" customFormat="1" ht="48" x14ac:dyDescent="0.25">
      <c r="B545" s="13" t="s">
        <v>259</v>
      </c>
      <c r="C545" s="19">
        <v>2022</v>
      </c>
      <c r="D545" s="38">
        <v>20521911221</v>
      </c>
      <c r="E545" s="14" t="s">
        <v>23</v>
      </c>
      <c r="F545" s="15" t="s">
        <v>24</v>
      </c>
      <c r="G545" s="16" t="str">
        <f t="shared" si="71"/>
        <v>C Industria manufacturera</v>
      </c>
      <c r="H545" s="14" t="str">
        <f t="shared" si="72"/>
        <v>20</v>
      </c>
      <c r="I545" s="17" t="s">
        <v>260</v>
      </c>
      <c r="J545" s="17" t="str">
        <f t="shared" si="69"/>
        <v>20 Fabricación de sustancias y productos químicos</v>
      </c>
      <c r="K545" s="14" t="str">
        <f t="shared" si="73"/>
        <v>201</v>
      </c>
      <c r="L545" s="15" t="s">
        <v>261</v>
      </c>
      <c r="M545" s="18" t="s">
        <v>262</v>
      </c>
      <c r="N545" s="15" t="s">
        <v>263</v>
      </c>
      <c r="O545" s="16" t="str">
        <f t="shared" si="70"/>
        <v>2011 Fabricación de sustancias químicas básicas</v>
      </c>
      <c r="P545" s="10">
        <v>329243.50999999995</v>
      </c>
    </row>
    <row r="546" spans="1:16" s="12" customFormat="1" ht="48" x14ac:dyDescent="0.25">
      <c r="B546" s="13" t="s">
        <v>259</v>
      </c>
      <c r="C546" s="19">
        <v>2023</v>
      </c>
      <c r="D546" s="38">
        <v>20521911221</v>
      </c>
      <c r="E546" s="14" t="s">
        <v>23</v>
      </c>
      <c r="F546" s="15" t="s">
        <v>24</v>
      </c>
      <c r="G546" s="16" t="str">
        <f t="shared" si="71"/>
        <v>C Industria manufacturera</v>
      </c>
      <c r="H546" s="14" t="str">
        <f t="shared" si="72"/>
        <v>20</v>
      </c>
      <c r="I546" s="17" t="s">
        <v>260</v>
      </c>
      <c r="J546" s="17" t="str">
        <f t="shared" si="69"/>
        <v>20 Fabricación de sustancias y productos químicos</v>
      </c>
      <c r="K546" s="14" t="str">
        <f t="shared" si="73"/>
        <v>201</v>
      </c>
      <c r="L546" s="15" t="s">
        <v>261</v>
      </c>
      <c r="M546" s="18" t="s">
        <v>262</v>
      </c>
      <c r="N546" s="15" t="s">
        <v>263</v>
      </c>
      <c r="O546" s="16" t="str">
        <f t="shared" si="70"/>
        <v>2011 Fabricación de sustancias químicas básicas</v>
      </c>
      <c r="P546" s="10">
        <v>192310.77</v>
      </c>
    </row>
    <row r="547" spans="1:16" s="12" customFormat="1" ht="48" x14ac:dyDescent="0.25">
      <c r="B547" s="13" t="s">
        <v>259</v>
      </c>
      <c r="C547" s="19">
        <v>2024</v>
      </c>
      <c r="D547" s="38">
        <v>20521911221</v>
      </c>
      <c r="E547" s="14" t="s">
        <v>23</v>
      </c>
      <c r="F547" s="15" t="s">
        <v>24</v>
      </c>
      <c r="G547" s="16" t="str">
        <f t="shared" si="71"/>
        <v>C Industria manufacturera</v>
      </c>
      <c r="H547" s="14" t="str">
        <f t="shared" si="72"/>
        <v>20</v>
      </c>
      <c r="I547" s="17" t="s">
        <v>260</v>
      </c>
      <c r="J547" s="17" t="str">
        <f t="shared" si="69"/>
        <v>20 Fabricación de sustancias y productos químicos</v>
      </c>
      <c r="K547" s="14" t="str">
        <f t="shared" si="73"/>
        <v>201</v>
      </c>
      <c r="L547" s="15" t="s">
        <v>261</v>
      </c>
      <c r="M547" s="18" t="s">
        <v>262</v>
      </c>
      <c r="N547" s="15" t="s">
        <v>263</v>
      </c>
      <c r="O547" s="16" t="str">
        <f t="shared" si="70"/>
        <v>2011 Fabricación de sustancias químicas básicas</v>
      </c>
      <c r="P547" s="10">
        <v>202319</v>
      </c>
    </row>
    <row r="548" spans="1:16" s="12" customFormat="1" ht="48" x14ac:dyDescent="0.25">
      <c r="A548" s="12">
        <v>1</v>
      </c>
      <c r="B548" s="13" t="s">
        <v>259</v>
      </c>
      <c r="C548" s="19">
        <v>2025</v>
      </c>
      <c r="D548" s="38">
        <v>20521911221</v>
      </c>
      <c r="E548" s="14" t="s">
        <v>23</v>
      </c>
      <c r="F548" s="15" t="s">
        <v>24</v>
      </c>
      <c r="G548" s="16" t="str">
        <f t="shared" si="71"/>
        <v>C Industria manufacturera</v>
      </c>
      <c r="H548" s="14" t="str">
        <f t="shared" si="72"/>
        <v>20</v>
      </c>
      <c r="I548" s="17" t="s">
        <v>260</v>
      </c>
      <c r="J548" s="17" t="str">
        <f t="shared" si="69"/>
        <v>20 Fabricación de sustancias y productos químicos</v>
      </c>
      <c r="K548" s="14" t="str">
        <f t="shared" si="73"/>
        <v>201</v>
      </c>
      <c r="L548" s="15" t="s">
        <v>261</v>
      </c>
      <c r="M548" s="18" t="s">
        <v>262</v>
      </c>
      <c r="N548" s="15" t="s">
        <v>263</v>
      </c>
      <c r="O548" s="16" t="str">
        <f t="shared" si="70"/>
        <v>2011 Fabricación de sustancias químicas básicas</v>
      </c>
      <c r="P548" s="10">
        <v>175522.95</v>
      </c>
    </row>
    <row r="549" spans="1:16" s="12" customFormat="1" ht="24" x14ac:dyDescent="0.25">
      <c r="B549" s="13" t="s">
        <v>277</v>
      </c>
      <c r="C549" s="19">
        <v>2021</v>
      </c>
      <c r="D549" s="38">
        <v>20522025071</v>
      </c>
      <c r="E549" s="14" t="s">
        <v>16</v>
      </c>
      <c r="F549" s="15" t="s">
        <v>17</v>
      </c>
      <c r="G549" s="16" t="str">
        <f t="shared" si="71"/>
        <v>B Explotación de minas y canteras</v>
      </c>
      <c r="H549" s="14" t="str">
        <f t="shared" si="72"/>
        <v>46</v>
      </c>
      <c r="I549" s="17" t="s">
        <v>18</v>
      </c>
      <c r="J549" s="17" t="str">
        <f t="shared" si="69"/>
        <v>46 Extracción de minerales metalíferos</v>
      </c>
      <c r="K549" s="14" t="str">
        <f t="shared" si="73"/>
        <v>466</v>
      </c>
      <c r="L549" s="15" t="s">
        <v>59</v>
      </c>
      <c r="M549" s="18" t="s">
        <v>116</v>
      </c>
      <c r="N549" s="15" t="s">
        <v>117</v>
      </c>
      <c r="O549" s="16" t="str">
        <f t="shared" si="70"/>
        <v>4662 Venta al por mayor de metales y minerales metalíferos</v>
      </c>
      <c r="P549" s="10">
        <v>1067163.07</v>
      </c>
    </row>
    <row r="550" spans="1:16" s="12" customFormat="1" ht="24" x14ac:dyDescent="0.25">
      <c r="B550" s="13" t="s">
        <v>277</v>
      </c>
      <c r="C550" s="19">
        <v>2022</v>
      </c>
      <c r="D550" s="38">
        <v>20522025071</v>
      </c>
      <c r="E550" s="14" t="s">
        <v>16</v>
      </c>
      <c r="F550" s="15" t="s">
        <v>17</v>
      </c>
      <c r="G550" s="16" t="str">
        <f t="shared" si="71"/>
        <v>B Explotación de minas y canteras</v>
      </c>
      <c r="H550" s="14" t="str">
        <f t="shared" si="72"/>
        <v>46</v>
      </c>
      <c r="I550" s="17" t="s">
        <v>18</v>
      </c>
      <c r="J550" s="17" t="str">
        <f t="shared" ref="J550:J573" si="74">H550&amp;" "&amp;I550</f>
        <v>46 Extracción de minerales metalíferos</v>
      </c>
      <c r="K550" s="14" t="str">
        <f t="shared" si="73"/>
        <v>466</v>
      </c>
      <c r="L550" s="15" t="s">
        <v>59</v>
      </c>
      <c r="M550" s="18" t="s">
        <v>116</v>
      </c>
      <c r="N550" s="15" t="s">
        <v>117</v>
      </c>
      <c r="O550" s="16" t="str">
        <f t="shared" ref="O550:O573" si="75">M550&amp;" "&amp;N550</f>
        <v>4662 Venta al por mayor de metales y minerales metalíferos</v>
      </c>
      <c r="P550" s="10">
        <v>702599.03</v>
      </c>
    </row>
    <row r="551" spans="1:16" s="12" customFormat="1" ht="24" x14ac:dyDescent="0.25">
      <c r="B551" s="13" t="s">
        <v>277</v>
      </c>
      <c r="C551" s="19">
        <v>2023</v>
      </c>
      <c r="D551" s="38">
        <v>20522025071</v>
      </c>
      <c r="E551" s="14" t="s">
        <v>16</v>
      </c>
      <c r="F551" s="15" t="s">
        <v>17</v>
      </c>
      <c r="G551" s="16" t="str">
        <f t="shared" si="71"/>
        <v>B Explotación de minas y canteras</v>
      </c>
      <c r="H551" s="14" t="str">
        <f t="shared" si="72"/>
        <v>46</v>
      </c>
      <c r="I551" s="17" t="s">
        <v>18</v>
      </c>
      <c r="J551" s="17" t="str">
        <f t="shared" si="74"/>
        <v>46 Extracción de minerales metalíferos</v>
      </c>
      <c r="K551" s="14" t="str">
        <f t="shared" si="73"/>
        <v>466</v>
      </c>
      <c r="L551" s="15" t="s">
        <v>59</v>
      </c>
      <c r="M551" s="18" t="s">
        <v>116</v>
      </c>
      <c r="N551" s="15" t="s">
        <v>117</v>
      </c>
      <c r="O551" s="16" t="str">
        <f t="shared" si="75"/>
        <v>4662 Venta al por mayor de metales y minerales metalíferos</v>
      </c>
      <c r="P551" s="10">
        <v>210.96</v>
      </c>
    </row>
    <row r="552" spans="1:16" s="12" customFormat="1" ht="24" x14ac:dyDescent="0.25">
      <c r="A552" s="12">
        <v>23</v>
      </c>
      <c r="B552" s="13" t="s">
        <v>277</v>
      </c>
      <c r="C552" s="19">
        <v>2025</v>
      </c>
      <c r="D552" s="38">
        <v>20522025071</v>
      </c>
      <c r="E552" s="14" t="s">
        <v>16</v>
      </c>
      <c r="F552" s="15" t="s">
        <v>17</v>
      </c>
      <c r="G552" s="16" t="str">
        <f t="shared" ref="G552:G573" si="76">E552&amp;" "&amp;F552</f>
        <v>B Explotación de minas y canteras</v>
      </c>
      <c r="H552" s="14" t="str">
        <f t="shared" ref="H552:H572" si="77">LEFT(K552,2)</f>
        <v>46</v>
      </c>
      <c r="I552" s="17" t="s">
        <v>18</v>
      </c>
      <c r="J552" s="17" t="str">
        <f t="shared" si="74"/>
        <v>46 Extracción de minerales metalíferos</v>
      </c>
      <c r="K552" s="14" t="str">
        <f t="shared" ref="K552:K572" si="78">LEFT(M552,3)</f>
        <v>466</v>
      </c>
      <c r="L552" s="15" t="s">
        <v>59</v>
      </c>
      <c r="M552" s="18" t="s">
        <v>116</v>
      </c>
      <c r="N552" s="15" t="s">
        <v>117</v>
      </c>
      <c r="O552" s="16" t="str">
        <f t="shared" si="75"/>
        <v>4662 Venta al por mayor de metales y minerales metalíferos</v>
      </c>
      <c r="P552" s="10">
        <v>223308.78</v>
      </c>
    </row>
    <row r="553" spans="1:16" s="12" customFormat="1" ht="36" x14ac:dyDescent="0.25">
      <c r="B553" s="13" t="s">
        <v>204</v>
      </c>
      <c r="C553" s="19">
        <v>2014</v>
      </c>
      <c r="D553" s="38">
        <v>20522232883</v>
      </c>
      <c r="E553" s="14" t="s">
        <v>42</v>
      </c>
      <c r="F553" s="15" t="s">
        <v>43</v>
      </c>
      <c r="G553" s="16" t="str">
        <f t="shared" si="76"/>
        <v>G Comercio al por mayor y al por menor; reparación de vehículos automotores y motocicletas</v>
      </c>
      <c r="H553" s="14" t="str">
        <f t="shared" si="77"/>
        <v>46</v>
      </c>
      <c r="I553" s="17" t="s">
        <v>44</v>
      </c>
      <c r="J553" s="17" t="str">
        <f t="shared" si="74"/>
        <v>46 Comercio al por mayor, excepto el de vehículos automotores y motocicletas</v>
      </c>
      <c r="K553" s="14" t="str">
        <f t="shared" si="78"/>
        <v>469</v>
      </c>
      <c r="L553" s="15" t="s">
        <v>45</v>
      </c>
      <c r="M553" s="18" t="s">
        <v>46</v>
      </c>
      <c r="N553" s="15" t="s">
        <v>45</v>
      </c>
      <c r="O553" s="16" t="str">
        <f t="shared" si="75"/>
        <v>4690 Venta al por mayor no especializada</v>
      </c>
      <c r="P553" s="10">
        <v>4862.32</v>
      </c>
    </row>
    <row r="554" spans="1:16" s="12" customFormat="1" ht="24" x14ac:dyDescent="0.25">
      <c r="B554" s="13" t="s">
        <v>215</v>
      </c>
      <c r="C554" s="19">
        <v>2015</v>
      </c>
      <c r="D554" s="38">
        <v>20522547957</v>
      </c>
      <c r="E554" s="14" t="s">
        <v>108</v>
      </c>
      <c r="F554" s="15" t="s">
        <v>109</v>
      </c>
      <c r="G554" s="16" t="str">
        <f t="shared" si="76"/>
        <v>H Transporte y almacenamiento</v>
      </c>
      <c r="H554" s="14" t="str">
        <f t="shared" si="77"/>
        <v>52</v>
      </c>
      <c r="I554" s="17" t="s">
        <v>110</v>
      </c>
      <c r="J554" s="17" t="str">
        <f t="shared" si="74"/>
        <v xml:space="preserve">52 Almacenamiento y actividades de apoyo al transporte </v>
      </c>
      <c r="K554" s="14" t="str">
        <f t="shared" si="78"/>
        <v>522</v>
      </c>
      <c r="L554" s="15" t="s">
        <v>139</v>
      </c>
      <c r="M554" s="18" t="s">
        <v>140</v>
      </c>
      <c r="N554" s="15" t="s">
        <v>141</v>
      </c>
      <c r="O554" s="16" t="str">
        <f t="shared" si="75"/>
        <v>5221 Actividades de servicios vinculadas al transporte terrestre</v>
      </c>
      <c r="P554" s="10">
        <v>1360.7</v>
      </c>
    </row>
    <row r="555" spans="1:16" s="12" customFormat="1" ht="24" x14ac:dyDescent="0.25">
      <c r="B555" s="13" t="s">
        <v>215</v>
      </c>
      <c r="C555" s="19">
        <v>2016</v>
      </c>
      <c r="D555" s="38">
        <v>20522547957</v>
      </c>
      <c r="E555" s="14" t="s">
        <v>108</v>
      </c>
      <c r="F555" s="15" t="s">
        <v>109</v>
      </c>
      <c r="G555" s="16" t="str">
        <f t="shared" si="76"/>
        <v>H Transporte y almacenamiento</v>
      </c>
      <c r="H555" s="14" t="str">
        <f t="shared" si="77"/>
        <v>52</v>
      </c>
      <c r="I555" s="17" t="s">
        <v>110</v>
      </c>
      <c r="J555" s="17" t="str">
        <f t="shared" si="74"/>
        <v xml:space="preserve">52 Almacenamiento y actividades de apoyo al transporte </v>
      </c>
      <c r="K555" s="14" t="str">
        <f t="shared" si="78"/>
        <v>522</v>
      </c>
      <c r="L555" s="15" t="s">
        <v>139</v>
      </c>
      <c r="M555" s="18" t="s">
        <v>140</v>
      </c>
      <c r="N555" s="15" t="s">
        <v>141</v>
      </c>
      <c r="O555" s="16" t="str">
        <f t="shared" si="75"/>
        <v>5221 Actividades de servicios vinculadas al transporte terrestre</v>
      </c>
      <c r="P555" s="10">
        <v>339097.71</v>
      </c>
    </row>
    <row r="556" spans="1:16" s="12" customFormat="1" ht="24" x14ac:dyDescent="0.25">
      <c r="B556" s="13" t="s">
        <v>215</v>
      </c>
      <c r="C556" s="19">
        <v>2017</v>
      </c>
      <c r="D556" s="38">
        <v>20522547957</v>
      </c>
      <c r="E556" s="14" t="s">
        <v>108</v>
      </c>
      <c r="F556" s="15" t="s">
        <v>109</v>
      </c>
      <c r="G556" s="16" t="str">
        <f t="shared" si="76"/>
        <v>H Transporte y almacenamiento</v>
      </c>
      <c r="H556" s="14" t="str">
        <f t="shared" si="77"/>
        <v>52</v>
      </c>
      <c r="I556" s="17" t="s">
        <v>110</v>
      </c>
      <c r="J556" s="17" t="str">
        <f t="shared" si="74"/>
        <v xml:space="preserve">52 Almacenamiento y actividades de apoyo al transporte </v>
      </c>
      <c r="K556" s="14" t="str">
        <f t="shared" si="78"/>
        <v>522</v>
      </c>
      <c r="L556" s="15" t="s">
        <v>139</v>
      </c>
      <c r="M556" s="18" t="s">
        <v>140</v>
      </c>
      <c r="N556" s="15" t="s">
        <v>141</v>
      </c>
      <c r="O556" s="16" t="str">
        <f t="shared" si="75"/>
        <v>5221 Actividades de servicios vinculadas al transporte terrestre</v>
      </c>
      <c r="P556" s="10">
        <v>24877.3</v>
      </c>
    </row>
    <row r="557" spans="1:16" s="12" customFormat="1" ht="24" x14ac:dyDescent="0.25">
      <c r="B557" s="13" t="s">
        <v>215</v>
      </c>
      <c r="C557" s="19">
        <v>2021</v>
      </c>
      <c r="D557" s="38">
        <v>20522547957</v>
      </c>
      <c r="E557" s="14" t="s">
        <v>108</v>
      </c>
      <c r="F557" s="15" t="s">
        <v>109</v>
      </c>
      <c r="G557" s="16" t="str">
        <f t="shared" si="76"/>
        <v>H Transporte y almacenamiento</v>
      </c>
      <c r="H557" s="14" t="str">
        <f t="shared" si="77"/>
        <v>52</v>
      </c>
      <c r="I557" s="17" t="s">
        <v>110</v>
      </c>
      <c r="J557" s="17" t="str">
        <f t="shared" si="74"/>
        <v xml:space="preserve">52 Almacenamiento y actividades de apoyo al transporte </v>
      </c>
      <c r="K557" s="14" t="str">
        <f t="shared" si="78"/>
        <v>522</v>
      </c>
      <c r="L557" s="15" t="s">
        <v>139</v>
      </c>
      <c r="M557" s="18" t="s">
        <v>140</v>
      </c>
      <c r="N557" s="15" t="s">
        <v>141</v>
      </c>
      <c r="O557" s="16" t="str">
        <f t="shared" si="75"/>
        <v>5221 Actividades de servicios vinculadas al transporte terrestre</v>
      </c>
      <c r="P557" s="10">
        <v>43644.039999999994</v>
      </c>
    </row>
    <row r="558" spans="1:16" s="12" customFormat="1" ht="24" x14ac:dyDescent="0.25">
      <c r="B558" s="13" t="s">
        <v>215</v>
      </c>
      <c r="C558" s="19">
        <v>2022</v>
      </c>
      <c r="D558" s="38">
        <v>20522547957</v>
      </c>
      <c r="E558" s="14" t="s">
        <v>108</v>
      </c>
      <c r="F558" s="15" t="s">
        <v>109</v>
      </c>
      <c r="G558" s="16" t="str">
        <f t="shared" si="76"/>
        <v>H Transporte y almacenamiento</v>
      </c>
      <c r="H558" s="14" t="str">
        <f t="shared" si="77"/>
        <v>52</v>
      </c>
      <c r="I558" s="17" t="s">
        <v>110</v>
      </c>
      <c r="J558" s="17" t="str">
        <f t="shared" si="74"/>
        <v xml:space="preserve">52 Almacenamiento y actividades de apoyo al transporte </v>
      </c>
      <c r="K558" s="14" t="str">
        <f t="shared" si="78"/>
        <v>522</v>
      </c>
      <c r="L558" s="15" t="s">
        <v>139</v>
      </c>
      <c r="M558" s="18" t="s">
        <v>140</v>
      </c>
      <c r="N558" s="15" t="s">
        <v>141</v>
      </c>
      <c r="O558" s="16" t="str">
        <f t="shared" si="75"/>
        <v>5221 Actividades de servicios vinculadas al transporte terrestre</v>
      </c>
      <c r="P558" s="10">
        <v>387849.18000000005</v>
      </c>
    </row>
    <row r="559" spans="1:16" s="12" customFormat="1" ht="24" x14ac:dyDescent="0.25">
      <c r="B559" s="13" t="s">
        <v>215</v>
      </c>
      <c r="C559" s="19">
        <v>2023</v>
      </c>
      <c r="D559" s="38">
        <v>20522547957</v>
      </c>
      <c r="E559" s="14" t="s">
        <v>108</v>
      </c>
      <c r="F559" s="15" t="s">
        <v>109</v>
      </c>
      <c r="G559" s="16" t="str">
        <f t="shared" si="76"/>
        <v>H Transporte y almacenamiento</v>
      </c>
      <c r="H559" s="14" t="str">
        <f t="shared" si="77"/>
        <v>52</v>
      </c>
      <c r="I559" s="17" t="s">
        <v>110</v>
      </c>
      <c r="J559" s="17" t="str">
        <f t="shared" si="74"/>
        <v xml:space="preserve">52 Almacenamiento y actividades de apoyo al transporte </v>
      </c>
      <c r="K559" s="14" t="str">
        <f t="shared" si="78"/>
        <v>522</v>
      </c>
      <c r="L559" s="15" t="s">
        <v>139</v>
      </c>
      <c r="M559" s="18" t="s">
        <v>140</v>
      </c>
      <c r="N559" s="15" t="s">
        <v>141</v>
      </c>
      <c r="O559" s="16" t="str">
        <f t="shared" si="75"/>
        <v>5221 Actividades de servicios vinculadas al transporte terrestre</v>
      </c>
      <c r="P559" s="10">
        <v>1470.46</v>
      </c>
    </row>
    <row r="560" spans="1:16" s="12" customFormat="1" ht="24" x14ac:dyDescent="0.25">
      <c r="B560" s="13" t="s">
        <v>215</v>
      </c>
      <c r="C560" s="19">
        <v>2024</v>
      </c>
      <c r="D560" s="38">
        <v>20522547957</v>
      </c>
      <c r="E560" s="14" t="s">
        <v>108</v>
      </c>
      <c r="F560" s="15" t="s">
        <v>109</v>
      </c>
      <c r="G560" s="16" t="str">
        <f t="shared" si="76"/>
        <v>H Transporte y almacenamiento</v>
      </c>
      <c r="H560" s="14" t="str">
        <f t="shared" si="77"/>
        <v>52</v>
      </c>
      <c r="I560" s="17" t="s">
        <v>110</v>
      </c>
      <c r="J560" s="17" t="str">
        <f t="shared" si="74"/>
        <v xml:space="preserve">52 Almacenamiento y actividades de apoyo al transporte </v>
      </c>
      <c r="K560" s="14" t="str">
        <f t="shared" si="78"/>
        <v>522</v>
      </c>
      <c r="L560" s="15" t="s">
        <v>139</v>
      </c>
      <c r="M560" s="18" t="s">
        <v>140</v>
      </c>
      <c r="N560" s="15" t="s">
        <v>141</v>
      </c>
      <c r="O560" s="16" t="str">
        <f t="shared" si="75"/>
        <v>5221 Actividades de servicios vinculadas al transporte terrestre</v>
      </c>
      <c r="P560" s="10">
        <v>2270.38</v>
      </c>
    </row>
    <row r="561" spans="1:16" s="12" customFormat="1" ht="24" x14ac:dyDescent="0.25">
      <c r="A561" s="12">
        <v>18</v>
      </c>
      <c r="B561" s="13" t="s">
        <v>215</v>
      </c>
      <c r="C561" s="19">
        <v>2025</v>
      </c>
      <c r="D561" s="38">
        <v>20522547957</v>
      </c>
      <c r="E561" s="14" t="s">
        <v>108</v>
      </c>
      <c r="F561" s="15" t="s">
        <v>109</v>
      </c>
      <c r="G561" s="16" t="str">
        <f t="shared" si="76"/>
        <v>H Transporte y almacenamiento</v>
      </c>
      <c r="H561" s="14" t="str">
        <f t="shared" si="77"/>
        <v>52</v>
      </c>
      <c r="I561" s="17" t="s">
        <v>110</v>
      </c>
      <c r="J561" s="17" t="str">
        <f t="shared" si="74"/>
        <v xml:space="preserve">52 Almacenamiento y actividades de apoyo al transporte </v>
      </c>
      <c r="K561" s="14" t="str">
        <f t="shared" si="78"/>
        <v>522</v>
      </c>
      <c r="L561" s="15" t="s">
        <v>139</v>
      </c>
      <c r="M561" s="18" t="s">
        <v>140</v>
      </c>
      <c r="N561" s="15" t="s">
        <v>141</v>
      </c>
      <c r="O561" s="16" t="str">
        <f t="shared" si="75"/>
        <v>5221 Actividades de servicios vinculadas al transporte terrestre</v>
      </c>
      <c r="P561" s="10">
        <v>60940.5</v>
      </c>
    </row>
    <row r="562" spans="1:16" s="12" customFormat="1" ht="24" x14ac:dyDescent="0.25">
      <c r="B562" s="13" t="s">
        <v>290</v>
      </c>
      <c r="C562" s="19">
        <v>2022</v>
      </c>
      <c r="D562" s="38">
        <v>20523155572</v>
      </c>
      <c r="E562" s="14" t="s">
        <v>218</v>
      </c>
      <c r="F562" s="15" t="s">
        <v>219</v>
      </c>
      <c r="G562" s="16" t="str">
        <f t="shared" si="76"/>
        <v>L Actividades inmobiliarias</v>
      </c>
      <c r="H562" s="14" t="str">
        <f t="shared" si="77"/>
        <v>68</v>
      </c>
      <c r="I562" s="17" t="s">
        <v>219</v>
      </c>
      <c r="J562" s="17" t="str">
        <f t="shared" si="74"/>
        <v>68 Actividades inmobiliarias</v>
      </c>
      <c r="K562" s="14" t="str">
        <f t="shared" si="78"/>
        <v>681</v>
      </c>
      <c r="L562" s="15" t="s">
        <v>220</v>
      </c>
      <c r="M562" s="18" t="s">
        <v>221</v>
      </c>
      <c r="N562" s="15" t="s">
        <v>220</v>
      </c>
      <c r="O562" s="16" t="str">
        <f t="shared" si="75"/>
        <v>6810 Actividades inmobiliarias realizadas con bienes propios o arrendados</v>
      </c>
      <c r="P562" s="10">
        <v>37017.449999999997</v>
      </c>
    </row>
    <row r="563" spans="1:16" s="12" customFormat="1" ht="36" x14ac:dyDescent="0.25">
      <c r="B563" s="13" t="s">
        <v>294</v>
      </c>
      <c r="C563" s="19">
        <v>2022</v>
      </c>
      <c r="D563" s="38">
        <v>20524269440</v>
      </c>
      <c r="E563" s="14" t="s">
        <v>42</v>
      </c>
      <c r="F563" s="15" t="s">
        <v>43</v>
      </c>
      <c r="G563" s="16" t="str">
        <f t="shared" si="76"/>
        <v>G Comercio al por mayor y al por menor; reparación de vehículos automotores y motocicletas</v>
      </c>
      <c r="H563" s="14" t="str">
        <f t="shared" si="77"/>
        <v>46</v>
      </c>
      <c r="I563" s="17" t="s">
        <v>44</v>
      </c>
      <c r="J563" s="17" t="str">
        <f t="shared" si="74"/>
        <v>46 Comercio al por mayor, excepto el de vehículos automotores y motocicletas</v>
      </c>
      <c r="K563" s="14" t="str">
        <f t="shared" si="78"/>
        <v>469</v>
      </c>
      <c r="L563" s="15" t="s">
        <v>45</v>
      </c>
      <c r="M563" s="18" t="s">
        <v>46</v>
      </c>
      <c r="N563" s="15" t="s">
        <v>45</v>
      </c>
      <c r="O563" s="16" t="str">
        <f t="shared" si="75"/>
        <v>4690 Venta al por mayor no especializada</v>
      </c>
      <c r="P563" s="10">
        <v>2908613.2899999996</v>
      </c>
    </row>
    <row r="564" spans="1:16" s="12" customFormat="1" ht="36" x14ac:dyDescent="0.25">
      <c r="B564" s="13" t="s">
        <v>326</v>
      </c>
      <c r="C564" s="19">
        <v>2023</v>
      </c>
      <c r="D564" s="38">
        <v>20524269440</v>
      </c>
      <c r="E564" s="14" t="s">
        <v>42</v>
      </c>
      <c r="F564" s="15" t="s">
        <v>43</v>
      </c>
      <c r="G564" s="16" t="str">
        <f t="shared" si="76"/>
        <v>G Comercio al por mayor y al por menor; reparación de vehículos automotores y motocicletas</v>
      </c>
      <c r="H564" s="14" t="str">
        <f t="shared" si="77"/>
        <v>46</v>
      </c>
      <c r="I564" s="17" t="s">
        <v>44</v>
      </c>
      <c r="J564" s="17" t="str">
        <f t="shared" si="74"/>
        <v>46 Comercio al por mayor, excepto el de vehículos automotores y motocicletas</v>
      </c>
      <c r="K564" s="14" t="str">
        <f t="shared" si="78"/>
        <v>469</v>
      </c>
      <c r="L564" s="15" t="s">
        <v>45</v>
      </c>
      <c r="M564" s="18" t="s">
        <v>46</v>
      </c>
      <c r="N564" s="15" t="s">
        <v>45</v>
      </c>
      <c r="O564" s="16" t="str">
        <f t="shared" si="75"/>
        <v>4690 Venta al por mayor no especializada</v>
      </c>
      <c r="P564" s="10">
        <v>926877.70999999985</v>
      </c>
    </row>
    <row r="565" spans="1:16" s="12" customFormat="1" ht="24" x14ac:dyDescent="0.25">
      <c r="A565" s="12">
        <v>20</v>
      </c>
      <c r="B565" s="13" t="s">
        <v>379</v>
      </c>
      <c r="C565" s="19">
        <v>2025</v>
      </c>
      <c r="D565" s="38">
        <v>20535120464</v>
      </c>
      <c r="E565" s="14" t="s">
        <v>16</v>
      </c>
      <c r="F565" s="15" t="s">
        <v>17</v>
      </c>
      <c r="G565" s="16" t="str">
        <f t="shared" si="76"/>
        <v>B Explotación de minas y canteras</v>
      </c>
      <c r="H565" s="14" t="str">
        <f t="shared" si="77"/>
        <v>46</v>
      </c>
      <c r="I565" s="17" t="s">
        <v>18</v>
      </c>
      <c r="J565" s="17" t="str">
        <f t="shared" si="74"/>
        <v>46 Extracción de minerales metalíferos</v>
      </c>
      <c r="K565" s="14" t="str">
        <f t="shared" si="78"/>
        <v>466</v>
      </c>
      <c r="L565" s="15" t="s">
        <v>59</v>
      </c>
      <c r="M565" s="18" t="s">
        <v>116</v>
      </c>
      <c r="N565" s="15" t="s">
        <v>117</v>
      </c>
      <c r="O565" s="16" t="str">
        <f t="shared" si="75"/>
        <v>4662 Venta al por mayor de metales y minerales metalíferos</v>
      </c>
      <c r="P565" s="10">
        <v>22795.09</v>
      </c>
    </row>
    <row r="566" spans="1:16" s="12" customFormat="1" ht="24" x14ac:dyDescent="0.25">
      <c r="B566" s="13" t="s">
        <v>405</v>
      </c>
      <c r="C566" s="19">
        <v>2023</v>
      </c>
      <c r="D566" s="38">
        <v>20537698889</v>
      </c>
      <c r="E566" s="14" t="s">
        <v>48</v>
      </c>
      <c r="F566" s="15" t="s">
        <v>49</v>
      </c>
      <c r="G566" s="16" t="str">
        <f t="shared" si="76"/>
        <v>D Suministro de electricidad, gas, vapor y aire acondicionado</v>
      </c>
      <c r="H566" s="14" t="str">
        <f t="shared" si="77"/>
        <v>35</v>
      </c>
      <c r="I566" s="17" t="s">
        <v>49</v>
      </c>
      <c r="J566" s="17" t="str">
        <f t="shared" si="74"/>
        <v>35 Suministro de electricidad, gas, vapor y aire acondicionado</v>
      </c>
      <c r="K566" s="14" t="str">
        <f t="shared" si="78"/>
        <v>351</v>
      </c>
      <c r="L566" s="15" t="s">
        <v>50</v>
      </c>
      <c r="M566" s="18" t="s">
        <v>51</v>
      </c>
      <c r="N566" s="15" t="s">
        <v>50</v>
      </c>
      <c r="O566" s="16" t="str">
        <f t="shared" si="75"/>
        <v>3510 Generación, transmisión y distribución de energía eléctrica</v>
      </c>
      <c r="P566" s="10">
        <v>1130806.8700000001</v>
      </c>
    </row>
    <row r="567" spans="1:16" s="12" customFormat="1" ht="24" x14ac:dyDescent="0.25">
      <c r="B567" s="13" t="s">
        <v>405</v>
      </c>
      <c r="C567" s="19">
        <v>2024</v>
      </c>
      <c r="D567" s="38">
        <v>20537698889</v>
      </c>
      <c r="E567" s="14" t="s">
        <v>48</v>
      </c>
      <c r="F567" s="15" t="s">
        <v>49</v>
      </c>
      <c r="G567" s="16" t="str">
        <f t="shared" si="76"/>
        <v>D Suministro de electricidad, gas, vapor y aire acondicionado</v>
      </c>
      <c r="H567" s="14" t="str">
        <f t="shared" si="77"/>
        <v>35</v>
      </c>
      <c r="I567" s="17" t="s">
        <v>49</v>
      </c>
      <c r="J567" s="17" t="str">
        <f t="shared" si="74"/>
        <v>35 Suministro de electricidad, gas, vapor y aire acondicionado</v>
      </c>
      <c r="K567" s="14" t="str">
        <f t="shared" si="78"/>
        <v>351</v>
      </c>
      <c r="L567" s="15" t="s">
        <v>50</v>
      </c>
      <c r="M567" s="18" t="s">
        <v>51</v>
      </c>
      <c r="N567" s="15" t="s">
        <v>50</v>
      </c>
      <c r="O567" s="16" t="str">
        <f t="shared" si="75"/>
        <v>3510 Generación, transmisión y distribución de energía eléctrica</v>
      </c>
      <c r="P567" s="10">
        <v>2572375.67</v>
      </c>
    </row>
    <row r="568" spans="1:16" s="12" customFormat="1" ht="24" x14ac:dyDescent="0.25">
      <c r="A568" s="12">
        <v>32</v>
      </c>
      <c r="B568" s="13" t="s">
        <v>405</v>
      </c>
      <c r="C568" s="19">
        <v>2025</v>
      </c>
      <c r="D568" s="38">
        <v>20537698889</v>
      </c>
      <c r="E568" s="14" t="s">
        <v>48</v>
      </c>
      <c r="F568" s="15" t="s">
        <v>49</v>
      </c>
      <c r="G568" s="16" t="str">
        <f t="shared" si="76"/>
        <v>D Suministro de electricidad, gas, vapor y aire acondicionado</v>
      </c>
      <c r="H568" s="14" t="str">
        <f t="shared" si="77"/>
        <v>35</v>
      </c>
      <c r="I568" s="17" t="s">
        <v>49</v>
      </c>
      <c r="J568" s="17" t="str">
        <f t="shared" si="74"/>
        <v>35 Suministro de electricidad, gas, vapor y aire acondicionado</v>
      </c>
      <c r="K568" s="14" t="str">
        <f t="shared" si="78"/>
        <v>351</v>
      </c>
      <c r="L568" s="15" t="s">
        <v>50</v>
      </c>
      <c r="M568" s="18" t="s">
        <v>51</v>
      </c>
      <c r="N568" s="15" t="s">
        <v>50</v>
      </c>
      <c r="O568" s="16" t="str">
        <f t="shared" si="75"/>
        <v>3510 Generación, transmisión y distribución de energía eléctrica</v>
      </c>
      <c r="P568" s="10">
        <v>788188.09</v>
      </c>
    </row>
    <row r="569" spans="1:16" s="12" customFormat="1" ht="24" x14ac:dyDescent="0.25">
      <c r="B569" s="13" t="s">
        <v>227</v>
      </c>
      <c r="C569" s="19">
        <v>2016</v>
      </c>
      <c r="D569" s="38">
        <v>20538810682</v>
      </c>
      <c r="E569" s="14" t="s">
        <v>48</v>
      </c>
      <c r="F569" s="15" t="s">
        <v>49</v>
      </c>
      <c r="G569" s="16" t="str">
        <f t="shared" si="76"/>
        <v>D Suministro de electricidad, gas, vapor y aire acondicionado</v>
      </c>
      <c r="H569" s="14" t="str">
        <f t="shared" si="77"/>
        <v>35</v>
      </c>
      <c r="I569" s="17" t="s">
        <v>49</v>
      </c>
      <c r="J569" s="17" t="str">
        <f t="shared" si="74"/>
        <v>35 Suministro de electricidad, gas, vapor y aire acondicionado</v>
      </c>
      <c r="K569" s="14" t="str">
        <f t="shared" si="78"/>
        <v>351</v>
      </c>
      <c r="L569" s="15" t="s">
        <v>50</v>
      </c>
      <c r="M569" s="18" t="s">
        <v>51</v>
      </c>
      <c r="N569" s="15" t="s">
        <v>50</v>
      </c>
      <c r="O569" s="16" t="str">
        <f t="shared" si="75"/>
        <v>3510 Generación, transmisión y distribución de energía eléctrica</v>
      </c>
      <c r="P569" s="10">
        <v>10753.61</v>
      </c>
    </row>
    <row r="570" spans="1:16" s="12" customFormat="1" ht="24" x14ac:dyDescent="0.25">
      <c r="B570" s="13" t="s">
        <v>227</v>
      </c>
      <c r="C570" s="19">
        <v>2016</v>
      </c>
      <c r="D570" s="38">
        <v>20538810682</v>
      </c>
      <c r="E570" s="14" t="s">
        <v>48</v>
      </c>
      <c r="F570" s="15" t="s">
        <v>49</v>
      </c>
      <c r="G570" s="16" t="str">
        <f t="shared" si="76"/>
        <v>D Suministro de electricidad, gas, vapor y aire acondicionado</v>
      </c>
      <c r="H570" s="14" t="str">
        <f t="shared" si="77"/>
        <v>35</v>
      </c>
      <c r="I570" s="17" t="s">
        <v>49</v>
      </c>
      <c r="J570" s="17" t="str">
        <f t="shared" si="74"/>
        <v>35 Suministro de electricidad, gas, vapor y aire acondicionado</v>
      </c>
      <c r="K570" s="14" t="str">
        <f t="shared" si="78"/>
        <v>351</v>
      </c>
      <c r="L570" s="15" t="s">
        <v>50</v>
      </c>
      <c r="M570" s="18" t="s">
        <v>51</v>
      </c>
      <c r="N570" s="15" t="s">
        <v>50</v>
      </c>
      <c r="O570" s="16" t="str">
        <f t="shared" si="75"/>
        <v>3510 Generación, transmisión y distribución de energía eléctrica</v>
      </c>
      <c r="P570" s="10">
        <v>7966.16</v>
      </c>
    </row>
    <row r="571" spans="1:16" s="12" customFormat="1" ht="24" x14ac:dyDescent="0.25">
      <c r="B571" s="13" t="s">
        <v>227</v>
      </c>
      <c r="C571" s="19">
        <v>2024</v>
      </c>
      <c r="D571" s="38">
        <v>20538810682</v>
      </c>
      <c r="E571" s="14" t="s">
        <v>48</v>
      </c>
      <c r="F571" s="15" t="s">
        <v>49</v>
      </c>
      <c r="G571" s="16" t="str">
        <f t="shared" si="76"/>
        <v>D Suministro de electricidad, gas, vapor y aire acondicionado</v>
      </c>
      <c r="H571" s="14" t="str">
        <f t="shared" si="77"/>
        <v>35</v>
      </c>
      <c r="I571" s="17" t="s">
        <v>49</v>
      </c>
      <c r="J571" s="17" t="str">
        <f t="shared" si="74"/>
        <v>35 Suministro de electricidad, gas, vapor y aire acondicionado</v>
      </c>
      <c r="K571" s="14" t="str">
        <f t="shared" si="78"/>
        <v>351</v>
      </c>
      <c r="L571" s="15" t="s">
        <v>50</v>
      </c>
      <c r="M571" s="18" t="s">
        <v>51</v>
      </c>
      <c r="N571" s="15" t="s">
        <v>50</v>
      </c>
      <c r="O571" s="16" t="str">
        <f t="shared" si="75"/>
        <v>3510 Generación, transmisión y distribución de energía eléctrica</v>
      </c>
      <c r="P571" s="10">
        <v>1694006.51</v>
      </c>
    </row>
    <row r="572" spans="1:16" s="12" customFormat="1" ht="24" x14ac:dyDescent="0.25">
      <c r="A572" s="12">
        <v>7</v>
      </c>
      <c r="B572" s="13" t="s">
        <v>227</v>
      </c>
      <c r="C572" s="19">
        <v>2025</v>
      </c>
      <c r="D572" s="38">
        <v>20538810682</v>
      </c>
      <c r="E572" s="14" t="s">
        <v>48</v>
      </c>
      <c r="F572" s="15" t="s">
        <v>49</v>
      </c>
      <c r="G572" s="16" t="str">
        <f t="shared" si="76"/>
        <v>D Suministro de electricidad, gas, vapor y aire acondicionado</v>
      </c>
      <c r="H572" s="14" t="str">
        <f t="shared" si="77"/>
        <v>35</v>
      </c>
      <c r="I572" s="17" t="s">
        <v>49</v>
      </c>
      <c r="J572" s="17" t="str">
        <f t="shared" si="74"/>
        <v>35 Suministro de electricidad, gas, vapor y aire acondicionado</v>
      </c>
      <c r="K572" s="14" t="str">
        <f t="shared" si="78"/>
        <v>351</v>
      </c>
      <c r="L572" s="15" t="s">
        <v>50</v>
      </c>
      <c r="M572" s="18" t="s">
        <v>51</v>
      </c>
      <c r="N572" s="15" t="s">
        <v>50</v>
      </c>
      <c r="O572" s="16" t="str">
        <f t="shared" si="75"/>
        <v>3510 Generación, transmisión y distribución de energía eléctrica</v>
      </c>
      <c r="P572" s="10">
        <v>3571220.97</v>
      </c>
    </row>
    <row r="573" spans="1:16" s="12" customFormat="1" ht="24" x14ac:dyDescent="0.25">
      <c r="B573" s="13" t="s">
        <v>315</v>
      </c>
      <c r="C573" s="19">
        <v>2023</v>
      </c>
      <c r="D573" s="38">
        <v>20540014109</v>
      </c>
      <c r="E573" s="14" t="s">
        <v>16</v>
      </c>
      <c r="F573" s="15" t="s">
        <v>17</v>
      </c>
      <c r="G573" s="16" t="str">
        <f t="shared" si="76"/>
        <v>B Explotación de minas y canteras</v>
      </c>
      <c r="H573" s="14" t="s">
        <v>316</v>
      </c>
      <c r="I573" s="17" t="s">
        <v>317</v>
      </c>
      <c r="J573" s="17" t="str">
        <f t="shared" si="74"/>
        <v>09 Actividades del servicio de apoyo para la explotacion de minas y canteras</v>
      </c>
      <c r="K573" s="14" t="s">
        <v>318</v>
      </c>
      <c r="L573" s="15" t="s">
        <v>317</v>
      </c>
      <c r="M573" s="18" t="s">
        <v>319</v>
      </c>
      <c r="N573" s="15" t="s">
        <v>317</v>
      </c>
      <c r="O573" s="16" t="str">
        <f t="shared" si="75"/>
        <v>0990 Actividades del servicio de apoyo para la explotacion de minas y canteras</v>
      </c>
      <c r="P573" s="10">
        <v>180816.52</v>
      </c>
    </row>
    <row r="574" spans="1:16" s="12" customFormat="1" x14ac:dyDescent="0.25">
      <c r="A574" s="12">
        <v>37</v>
      </c>
      <c r="B574" s="13" t="s">
        <v>392</v>
      </c>
      <c r="C574" s="19">
        <v>2025</v>
      </c>
      <c r="D574" s="38">
        <v>20543254798</v>
      </c>
      <c r="E574" s="14" t="s">
        <v>95</v>
      </c>
      <c r="F574" s="15" t="s">
        <v>393</v>
      </c>
      <c r="G574" s="16" t="s">
        <v>394</v>
      </c>
      <c r="H574" s="14" t="s">
        <v>395</v>
      </c>
      <c r="I574" s="17" t="s">
        <v>97</v>
      </c>
      <c r="J574" s="17" t="s">
        <v>396</v>
      </c>
      <c r="K574" s="14">
        <v>6120</v>
      </c>
      <c r="L574" s="15" t="s">
        <v>397</v>
      </c>
      <c r="M574" s="18" t="s">
        <v>398</v>
      </c>
      <c r="N574" s="15" t="s">
        <v>397</v>
      </c>
      <c r="O574" s="16" t="s">
        <v>399</v>
      </c>
      <c r="P574" s="10">
        <v>34140.300000000003</v>
      </c>
    </row>
    <row r="575" spans="1:16" s="12" customFormat="1" ht="24" x14ac:dyDescent="0.25">
      <c r="B575" s="13" t="s">
        <v>234</v>
      </c>
      <c r="C575" s="19">
        <v>2017</v>
      </c>
      <c r="D575" s="38">
        <v>20543676781</v>
      </c>
      <c r="E575" s="14" t="s">
        <v>161</v>
      </c>
      <c r="F575" s="15" t="s">
        <v>189</v>
      </c>
      <c r="G575" s="16" t="str">
        <f t="shared" ref="G575:G583" si="79">E575&amp;" "&amp;F575</f>
        <v>F Construcción</v>
      </c>
      <c r="H575" s="14" t="str">
        <f t="shared" ref="H575:H583" si="80">LEFT(K575,2)</f>
        <v>42</v>
      </c>
      <c r="I575" s="17" t="s">
        <v>235</v>
      </c>
      <c r="J575" s="17" t="str">
        <f t="shared" ref="J575:J583" si="81">H575&amp;" "&amp;I575</f>
        <v>42 Obras de ingeniería civil</v>
      </c>
      <c r="K575" s="14" t="str">
        <f t="shared" ref="K575:K583" si="82">LEFT(M575,3)</f>
        <v>429</v>
      </c>
      <c r="L575" s="15" t="s">
        <v>236</v>
      </c>
      <c r="M575" s="18" t="s">
        <v>237</v>
      </c>
      <c r="N575" s="15" t="s">
        <v>238</v>
      </c>
      <c r="O575" s="16" t="str">
        <f t="shared" ref="O575:O583" si="83">M575&amp;" "&amp;N575</f>
        <v>4290 Construcción de otras obras de ingeniera civil</v>
      </c>
      <c r="P575" s="10">
        <v>1269310.33</v>
      </c>
    </row>
    <row r="576" spans="1:16" s="12" customFormat="1" ht="36" x14ac:dyDescent="0.25">
      <c r="B576" s="13" t="s">
        <v>299</v>
      </c>
      <c r="C576" s="19">
        <v>2022</v>
      </c>
      <c r="D576" s="38">
        <v>20543847420</v>
      </c>
      <c r="E576" s="14" t="s">
        <v>42</v>
      </c>
      <c r="F576" s="15" t="s">
        <v>43</v>
      </c>
      <c r="G576" s="16" t="str">
        <f t="shared" si="79"/>
        <v>G Comercio al por mayor y al por menor; reparación de vehículos automotores y motocicletas</v>
      </c>
      <c r="H576" s="14" t="str">
        <f t="shared" si="80"/>
        <v>46</v>
      </c>
      <c r="I576" s="17" t="s">
        <v>44</v>
      </c>
      <c r="J576" s="17" t="str">
        <f t="shared" si="81"/>
        <v>46 Comercio al por mayor, excepto el de vehículos automotores y motocicletas</v>
      </c>
      <c r="K576" s="14" t="str">
        <f t="shared" si="82"/>
        <v>466</v>
      </c>
      <c r="L576" s="15" t="s">
        <v>59</v>
      </c>
      <c r="M576" s="18" t="s">
        <v>60</v>
      </c>
      <c r="N576" s="15" t="s">
        <v>61</v>
      </c>
      <c r="O576" s="16" t="str">
        <f t="shared" si="83"/>
        <v>4663 Venta al por mayor de materiales de construcción, artículos de ferretería y equipo y materiales de fontanería y calefacción</v>
      </c>
      <c r="P576" s="10">
        <v>4042366.3200000003</v>
      </c>
    </row>
    <row r="577" spans="1:16" s="12" customFormat="1" ht="24" x14ac:dyDescent="0.25">
      <c r="B577" s="13" t="s">
        <v>366</v>
      </c>
      <c r="C577" s="19">
        <v>2024</v>
      </c>
      <c r="D577" s="38">
        <v>20545026725</v>
      </c>
      <c r="E577" s="14" t="s">
        <v>161</v>
      </c>
      <c r="F577" s="15" t="s">
        <v>189</v>
      </c>
      <c r="G577" s="16" t="str">
        <f t="shared" si="79"/>
        <v>F Construcción</v>
      </c>
      <c r="H577" s="14" t="str">
        <f t="shared" si="80"/>
        <v>42</v>
      </c>
      <c r="I577" s="17" t="s">
        <v>235</v>
      </c>
      <c r="J577" s="17" t="str">
        <f t="shared" si="81"/>
        <v>42 Obras de ingeniería civil</v>
      </c>
      <c r="K577" s="14" t="str">
        <f t="shared" si="82"/>
        <v>429</v>
      </c>
      <c r="L577" s="15" t="s">
        <v>236</v>
      </c>
      <c r="M577" s="18" t="s">
        <v>237</v>
      </c>
      <c r="N577" s="15" t="s">
        <v>238</v>
      </c>
      <c r="O577" s="16" t="str">
        <f t="shared" si="83"/>
        <v>4290 Construcción de otras obras de ingeniera civil</v>
      </c>
      <c r="P577" s="10">
        <v>1234110.29</v>
      </c>
    </row>
    <row r="578" spans="1:16" s="12" customFormat="1" ht="24" x14ac:dyDescent="0.25">
      <c r="B578" s="13" t="s">
        <v>211</v>
      </c>
      <c r="C578" s="19">
        <v>2015</v>
      </c>
      <c r="D578" s="38">
        <v>20546236073</v>
      </c>
      <c r="E578" s="14" t="s">
        <v>48</v>
      </c>
      <c r="F578" s="15" t="s">
        <v>49</v>
      </c>
      <c r="G578" s="16" t="str">
        <f t="shared" si="79"/>
        <v>D Suministro de electricidad, gas, vapor y aire acondicionado</v>
      </c>
      <c r="H578" s="14" t="str">
        <f t="shared" si="80"/>
        <v>35</v>
      </c>
      <c r="I578" s="17" t="s">
        <v>49</v>
      </c>
      <c r="J578" s="17" t="str">
        <f t="shared" si="81"/>
        <v>35 Suministro de electricidad, gas, vapor y aire acondicionado</v>
      </c>
      <c r="K578" s="14" t="str">
        <f t="shared" si="82"/>
        <v>351</v>
      </c>
      <c r="L578" s="15" t="s">
        <v>50</v>
      </c>
      <c r="M578" s="18" t="s">
        <v>51</v>
      </c>
      <c r="N578" s="15" t="s">
        <v>50</v>
      </c>
      <c r="O578" s="16" t="str">
        <f t="shared" si="83"/>
        <v>3510 Generación, transmisión y distribución de energía eléctrica</v>
      </c>
      <c r="P578" s="10">
        <v>6727.85</v>
      </c>
    </row>
    <row r="579" spans="1:16" s="12" customFormat="1" ht="24" x14ac:dyDescent="0.25">
      <c r="B579" s="13" t="s">
        <v>211</v>
      </c>
      <c r="C579" s="19">
        <v>2016</v>
      </c>
      <c r="D579" s="38">
        <v>20546236073</v>
      </c>
      <c r="E579" s="14" t="s">
        <v>48</v>
      </c>
      <c r="F579" s="15" t="s">
        <v>49</v>
      </c>
      <c r="G579" s="16" t="str">
        <f t="shared" si="79"/>
        <v>D Suministro de electricidad, gas, vapor y aire acondicionado</v>
      </c>
      <c r="H579" s="14" t="str">
        <f t="shared" si="80"/>
        <v>35</v>
      </c>
      <c r="I579" s="17" t="s">
        <v>49</v>
      </c>
      <c r="J579" s="17" t="str">
        <f t="shared" si="81"/>
        <v>35 Suministro de electricidad, gas, vapor y aire acondicionado</v>
      </c>
      <c r="K579" s="14" t="str">
        <f t="shared" si="82"/>
        <v>351</v>
      </c>
      <c r="L579" s="15" t="s">
        <v>50</v>
      </c>
      <c r="M579" s="18" t="s">
        <v>51</v>
      </c>
      <c r="N579" s="15" t="s">
        <v>50</v>
      </c>
      <c r="O579" s="16" t="str">
        <f t="shared" si="83"/>
        <v>3510 Generación, transmisión y distribución de energía eléctrica</v>
      </c>
      <c r="P579" s="10">
        <v>1497.8</v>
      </c>
    </row>
    <row r="580" spans="1:16" s="12" customFormat="1" ht="36" x14ac:dyDescent="0.25">
      <c r="B580" s="13" t="s">
        <v>205</v>
      </c>
      <c r="C580" s="19">
        <v>2015</v>
      </c>
      <c r="D580" s="38">
        <v>20554545743</v>
      </c>
      <c r="E580" s="14" t="s">
        <v>42</v>
      </c>
      <c r="F580" s="15" t="s">
        <v>43</v>
      </c>
      <c r="G580" s="16" t="str">
        <f t="shared" si="79"/>
        <v>G Comercio al por mayor y al por menor; reparación de vehículos automotores y motocicletas</v>
      </c>
      <c r="H580" s="14" t="str">
        <f t="shared" si="80"/>
        <v>46</v>
      </c>
      <c r="I580" s="17" t="s">
        <v>44</v>
      </c>
      <c r="J580" s="17" t="str">
        <f t="shared" si="81"/>
        <v>46 Comercio al por mayor, excepto el de vehículos automotores y motocicletas</v>
      </c>
      <c r="K580" s="14" t="str">
        <f t="shared" si="82"/>
        <v>466</v>
      </c>
      <c r="L580" s="15" t="s">
        <v>59</v>
      </c>
      <c r="M580" s="18" t="s">
        <v>145</v>
      </c>
      <c r="N580" s="15" t="s">
        <v>146</v>
      </c>
      <c r="O580" s="16" t="str">
        <f t="shared" si="83"/>
        <v>4661 Venta al por mayor de combustible sólidos, líquidos y gaseosos y productos conexos</v>
      </c>
      <c r="P580" s="10">
        <v>175636.16</v>
      </c>
    </row>
    <row r="581" spans="1:16" s="12" customFormat="1" ht="36" x14ac:dyDescent="0.25">
      <c r="B581" s="13" t="s">
        <v>205</v>
      </c>
      <c r="C581" s="19">
        <v>2019</v>
      </c>
      <c r="D581" s="38">
        <v>20554545743</v>
      </c>
      <c r="E581" s="14" t="s">
        <v>42</v>
      </c>
      <c r="F581" s="15" t="s">
        <v>43</v>
      </c>
      <c r="G581" s="16" t="str">
        <f t="shared" si="79"/>
        <v>G Comercio al por mayor y al por menor; reparación de vehículos automotores y motocicletas</v>
      </c>
      <c r="H581" s="14" t="str">
        <f t="shared" si="80"/>
        <v>46</v>
      </c>
      <c r="I581" s="17" t="s">
        <v>44</v>
      </c>
      <c r="J581" s="17" t="str">
        <f t="shared" si="81"/>
        <v>46 Comercio al por mayor, excepto el de vehículos automotores y motocicletas</v>
      </c>
      <c r="K581" s="14" t="str">
        <f t="shared" si="82"/>
        <v>466</v>
      </c>
      <c r="L581" s="15" t="s">
        <v>59</v>
      </c>
      <c r="M581" s="18" t="s">
        <v>145</v>
      </c>
      <c r="N581" s="15" t="s">
        <v>146</v>
      </c>
      <c r="O581" s="16" t="str">
        <f t="shared" si="83"/>
        <v>4661 Venta al por mayor de combustible sólidos, líquidos y gaseosos y productos conexos</v>
      </c>
      <c r="P581" s="10">
        <v>35514.14</v>
      </c>
    </row>
    <row r="582" spans="1:16" s="12" customFormat="1" ht="36" x14ac:dyDescent="0.25">
      <c r="B582" s="13" t="s">
        <v>205</v>
      </c>
      <c r="C582" s="19">
        <v>2024</v>
      </c>
      <c r="D582" s="38">
        <v>20554545743</v>
      </c>
      <c r="E582" s="14" t="s">
        <v>42</v>
      </c>
      <c r="F582" s="15" t="s">
        <v>43</v>
      </c>
      <c r="G582" s="16" t="str">
        <f t="shared" si="79"/>
        <v>G Comercio al por mayor y al por menor; reparación de vehículos automotores y motocicletas</v>
      </c>
      <c r="H582" s="14" t="str">
        <f t="shared" si="80"/>
        <v>46</v>
      </c>
      <c r="I582" s="17" t="s">
        <v>44</v>
      </c>
      <c r="J582" s="17" t="str">
        <f t="shared" si="81"/>
        <v>46 Comercio al por mayor, excepto el de vehículos automotores y motocicletas</v>
      </c>
      <c r="K582" s="14" t="str">
        <f t="shared" si="82"/>
        <v>466</v>
      </c>
      <c r="L582" s="15" t="s">
        <v>59</v>
      </c>
      <c r="M582" s="18" t="s">
        <v>145</v>
      </c>
      <c r="N582" s="15" t="s">
        <v>146</v>
      </c>
      <c r="O582" s="16" t="str">
        <f t="shared" si="83"/>
        <v>4661 Venta al por mayor de combustible sólidos, líquidos y gaseosos y productos conexos</v>
      </c>
      <c r="P582" s="10">
        <v>140403.88</v>
      </c>
    </row>
    <row r="583" spans="1:16" s="12" customFormat="1" ht="36" x14ac:dyDescent="0.25">
      <c r="A583" s="12">
        <v>27</v>
      </c>
      <c r="B583" s="13" t="s">
        <v>205</v>
      </c>
      <c r="C583" s="19">
        <v>2025</v>
      </c>
      <c r="D583" s="38">
        <v>20554545743</v>
      </c>
      <c r="E583" s="14" t="s">
        <v>42</v>
      </c>
      <c r="F583" s="15" t="s">
        <v>43</v>
      </c>
      <c r="G583" s="16" t="str">
        <f t="shared" si="79"/>
        <v>G Comercio al por mayor y al por menor; reparación de vehículos automotores y motocicletas</v>
      </c>
      <c r="H583" s="14" t="str">
        <f t="shared" si="80"/>
        <v>46</v>
      </c>
      <c r="I583" s="17" t="s">
        <v>44</v>
      </c>
      <c r="J583" s="17" t="str">
        <f t="shared" si="81"/>
        <v>46 Comercio al por mayor, excepto el de vehículos automotores y motocicletas</v>
      </c>
      <c r="K583" s="14" t="str">
        <f t="shared" si="82"/>
        <v>466</v>
      </c>
      <c r="L583" s="15" t="s">
        <v>59</v>
      </c>
      <c r="M583" s="18" t="s">
        <v>145</v>
      </c>
      <c r="N583" s="15" t="s">
        <v>146</v>
      </c>
      <c r="O583" s="16" t="str">
        <f t="shared" si="83"/>
        <v>4661 Venta al por mayor de combustible sólidos, líquidos y gaseosos y productos conexos</v>
      </c>
      <c r="P583" s="10">
        <v>16143.24</v>
      </c>
    </row>
    <row r="584" spans="1:16" s="12" customFormat="1" ht="24" x14ac:dyDescent="0.25">
      <c r="A584" s="12">
        <v>21</v>
      </c>
      <c r="B584" s="13" t="s">
        <v>380</v>
      </c>
      <c r="C584" s="19">
        <v>2025</v>
      </c>
      <c r="D584" s="38">
        <v>20554816526</v>
      </c>
      <c r="E584" s="14" t="s">
        <v>148</v>
      </c>
      <c r="F584" s="15" t="s">
        <v>381</v>
      </c>
      <c r="G584" s="16" t="s">
        <v>382</v>
      </c>
      <c r="H584" s="14">
        <v>65</v>
      </c>
      <c r="I584" s="17" t="s">
        <v>150</v>
      </c>
      <c r="J584" s="17" t="s">
        <v>383</v>
      </c>
      <c r="K584" s="14">
        <v>651</v>
      </c>
      <c r="L584" s="15" t="s">
        <v>384</v>
      </c>
      <c r="M584" s="18" t="s">
        <v>385</v>
      </c>
      <c r="N584" s="15" t="s">
        <v>386</v>
      </c>
      <c r="O584" s="16" t="s">
        <v>387</v>
      </c>
      <c r="P584" s="10">
        <v>39465.72</v>
      </c>
    </row>
    <row r="585" spans="1:16" s="12" customFormat="1" ht="24" x14ac:dyDescent="0.25">
      <c r="B585" s="13" t="s">
        <v>245</v>
      </c>
      <c r="C585" s="19">
        <v>2018</v>
      </c>
      <c r="D585" s="38">
        <v>20557410008</v>
      </c>
      <c r="E585" s="14" t="s">
        <v>108</v>
      </c>
      <c r="F585" s="15" t="s">
        <v>109</v>
      </c>
      <c r="G585" s="16" t="str">
        <f t="shared" ref="G585:G606" si="84">E585&amp;" "&amp;F585</f>
        <v>H Transporte y almacenamiento</v>
      </c>
      <c r="H585" s="14" t="str">
        <f>LEFT(K585,2)</f>
        <v>49</v>
      </c>
      <c r="I585" s="17" t="s">
        <v>246</v>
      </c>
      <c r="J585" s="17" t="str">
        <f t="shared" ref="J585:J606" si="85">H585&amp;" "&amp;I585</f>
        <v>49 Transporte por vía terrestre y transporte por tuberías</v>
      </c>
      <c r="K585" s="14" t="str">
        <f>LEFT(M585,3)</f>
        <v>491</v>
      </c>
      <c r="L585" s="15" t="s">
        <v>247</v>
      </c>
      <c r="M585" s="18" t="s">
        <v>248</v>
      </c>
      <c r="N585" s="15" t="s">
        <v>249</v>
      </c>
      <c r="O585" s="16" t="str">
        <f t="shared" ref="O585:O606" si="86">M585&amp;" "&amp;N585</f>
        <v>4911 Transporte interurbano de pasajeros por ferrocarril</v>
      </c>
      <c r="P585" s="10">
        <v>26669.46</v>
      </c>
    </row>
    <row r="586" spans="1:16" s="12" customFormat="1" ht="24" x14ac:dyDescent="0.25">
      <c r="B586" s="13" t="s">
        <v>245</v>
      </c>
      <c r="C586" s="19">
        <v>2020</v>
      </c>
      <c r="D586" s="38">
        <v>20557410008</v>
      </c>
      <c r="E586" s="14" t="s">
        <v>108</v>
      </c>
      <c r="F586" s="15" t="s">
        <v>109</v>
      </c>
      <c r="G586" s="16" t="str">
        <f t="shared" si="84"/>
        <v>H Transporte y almacenamiento</v>
      </c>
      <c r="H586" s="14" t="str">
        <f>LEFT(K586,2)</f>
        <v>49</v>
      </c>
      <c r="I586" s="17" t="s">
        <v>246</v>
      </c>
      <c r="J586" s="17" t="str">
        <f t="shared" si="85"/>
        <v>49 Transporte por vía terrestre y transporte por tuberías</v>
      </c>
      <c r="K586" s="14" t="str">
        <f>LEFT(M586,3)</f>
        <v>491</v>
      </c>
      <c r="L586" s="15" t="s">
        <v>247</v>
      </c>
      <c r="M586" s="18" t="s">
        <v>248</v>
      </c>
      <c r="N586" s="15" t="s">
        <v>249</v>
      </c>
      <c r="O586" s="16" t="str">
        <f t="shared" si="86"/>
        <v>4911 Transporte interurbano de pasajeros por ferrocarril</v>
      </c>
      <c r="P586" s="10">
        <v>56698.92</v>
      </c>
    </row>
    <row r="587" spans="1:16" s="12" customFormat="1" ht="24" x14ac:dyDescent="0.25">
      <c r="A587" s="12">
        <v>19</v>
      </c>
      <c r="B587" s="13" t="s">
        <v>245</v>
      </c>
      <c r="C587" s="19">
        <v>2025</v>
      </c>
      <c r="D587" s="38">
        <v>20557410008</v>
      </c>
      <c r="E587" s="14" t="s">
        <v>108</v>
      </c>
      <c r="F587" s="15" t="s">
        <v>109</v>
      </c>
      <c r="G587" s="16" t="str">
        <f t="shared" si="84"/>
        <v>H Transporte y almacenamiento</v>
      </c>
      <c r="H587" s="14" t="str">
        <f>LEFT(K587,2)</f>
        <v>49</v>
      </c>
      <c r="I587" s="17" t="s">
        <v>246</v>
      </c>
      <c r="J587" s="17" t="str">
        <f t="shared" si="85"/>
        <v>49 Transporte por vía terrestre y transporte por tuberías</v>
      </c>
      <c r="K587" s="14" t="str">
        <f>LEFT(M587,3)</f>
        <v>491</v>
      </c>
      <c r="L587" s="15" t="s">
        <v>247</v>
      </c>
      <c r="M587" s="18" t="s">
        <v>248</v>
      </c>
      <c r="N587" s="15" t="s">
        <v>249</v>
      </c>
      <c r="O587" s="16" t="str">
        <f t="shared" si="86"/>
        <v>4911 Transporte interurbano de pasajeros por ferrocarril</v>
      </c>
      <c r="P587" s="10">
        <v>1418945.21</v>
      </c>
    </row>
    <row r="588" spans="1:16" s="12" customFormat="1" ht="24" x14ac:dyDescent="0.25">
      <c r="B588" s="13" t="s">
        <v>160</v>
      </c>
      <c r="C588" s="19">
        <v>2011</v>
      </c>
      <c r="D588" s="38">
        <v>20600067517</v>
      </c>
      <c r="E588" s="14" t="s">
        <v>161</v>
      </c>
      <c r="F588" s="15" t="s">
        <v>162</v>
      </c>
      <c r="G588" s="16" t="str">
        <f t="shared" si="84"/>
        <v>F Construccion</v>
      </c>
      <c r="H588" s="14">
        <v>42</v>
      </c>
      <c r="I588" s="17" t="s">
        <v>163</v>
      </c>
      <c r="J588" s="17" t="str">
        <f t="shared" si="85"/>
        <v>42 Obras de ingenieria Civil</v>
      </c>
      <c r="K588" s="14">
        <v>421</v>
      </c>
      <c r="L588" s="15" t="s">
        <v>164</v>
      </c>
      <c r="M588" s="18">
        <v>4210</v>
      </c>
      <c r="N588" s="15" t="s">
        <v>164</v>
      </c>
      <c r="O588" s="16" t="str">
        <f t="shared" si="86"/>
        <v>4210 Construccion de carreteras y vias de ferrocarril</v>
      </c>
      <c r="P588" s="10">
        <v>156388.9</v>
      </c>
    </row>
    <row r="589" spans="1:16" s="12" customFormat="1" x14ac:dyDescent="0.25">
      <c r="B589" s="13" t="s">
        <v>300</v>
      </c>
      <c r="C589" s="19">
        <v>2022</v>
      </c>
      <c r="D589" s="38">
        <v>20600715187</v>
      </c>
      <c r="E589" s="14" t="s">
        <v>23</v>
      </c>
      <c r="F589" s="15" t="s">
        <v>24</v>
      </c>
      <c r="G589" s="16" t="str">
        <f t="shared" si="84"/>
        <v>C Industria manufacturera</v>
      </c>
      <c r="H589" s="14" t="str">
        <f t="shared" ref="H589:H606" si="87">LEFT(K589,2)</f>
        <v>24</v>
      </c>
      <c r="I589" s="17" t="s">
        <v>229</v>
      </c>
      <c r="J589" s="17" t="str">
        <f t="shared" si="85"/>
        <v>24 Fabricación de metales comunes</v>
      </c>
      <c r="K589" s="14" t="str">
        <f t="shared" ref="K589:K606" si="88">LEFT(M589,3)</f>
        <v>243</v>
      </c>
      <c r="L589" s="15" t="s">
        <v>230</v>
      </c>
      <c r="M589" s="18" t="s">
        <v>231</v>
      </c>
      <c r="N589" s="15" t="s">
        <v>232</v>
      </c>
      <c r="O589" s="16" t="str">
        <f t="shared" si="86"/>
        <v>2432 Fundición de metales no ferrosos</v>
      </c>
      <c r="P589" s="10">
        <v>3110845.22</v>
      </c>
    </row>
    <row r="590" spans="1:16" s="12" customFormat="1" x14ac:dyDescent="0.25">
      <c r="B590" s="13" t="s">
        <v>300</v>
      </c>
      <c r="C590" s="19">
        <v>2023</v>
      </c>
      <c r="D590" s="38">
        <v>20600715187</v>
      </c>
      <c r="E590" s="14" t="s">
        <v>23</v>
      </c>
      <c r="F590" s="15" t="s">
        <v>24</v>
      </c>
      <c r="G590" s="16" t="str">
        <f t="shared" si="84"/>
        <v>C Industria manufacturera</v>
      </c>
      <c r="H590" s="14" t="str">
        <f t="shared" si="87"/>
        <v>24</v>
      </c>
      <c r="I590" s="17" t="s">
        <v>229</v>
      </c>
      <c r="J590" s="17" t="str">
        <f t="shared" si="85"/>
        <v>24 Fabricación de metales comunes</v>
      </c>
      <c r="K590" s="14" t="str">
        <f t="shared" si="88"/>
        <v>243</v>
      </c>
      <c r="L590" s="15" t="s">
        <v>230</v>
      </c>
      <c r="M590" s="18" t="s">
        <v>231</v>
      </c>
      <c r="N590" s="15" t="s">
        <v>232</v>
      </c>
      <c r="O590" s="16" t="str">
        <f t="shared" si="86"/>
        <v>2432 Fundición de metales no ferrosos</v>
      </c>
      <c r="P590" s="10">
        <v>367787.25</v>
      </c>
    </row>
    <row r="591" spans="1:16" s="12" customFormat="1" ht="24" x14ac:dyDescent="0.25">
      <c r="B591" s="13" t="s">
        <v>272</v>
      </c>
      <c r="C591" s="19">
        <v>2021</v>
      </c>
      <c r="D591" s="38">
        <v>20601015421</v>
      </c>
      <c r="E591" s="14" t="s">
        <v>16</v>
      </c>
      <c r="F591" s="15" t="s">
        <v>17</v>
      </c>
      <c r="G591" s="16" t="str">
        <f t="shared" si="84"/>
        <v>B Explotación de minas y canteras</v>
      </c>
      <c r="H591" s="14" t="str">
        <f t="shared" si="87"/>
        <v>46</v>
      </c>
      <c r="I591" s="17" t="s">
        <v>18</v>
      </c>
      <c r="J591" s="17" t="str">
        <f t="shared" si="85"/>
        <v>46 Extracción de minerales metalíferos</v>
      </c>
      <c r="K591" s="14" t="str">
        <f t="shared" si="88"/>
        <v>466</v>
      </c>
      <c r="L591" s="15" t="s">
        <v>59</v>
      </c>
      <c r="M591" s="18" t="s">
        <v>116</v>
      </c>
      <c r="N591" s="15" t="s">
        <v>117</v>
      </c>
      <c r="O591" s="16" t="str">
        <f t="shared" si="86"/>
        <v>4662 Venta al por mayor de metales y minerales metalíferos</v>
      </c>
      <c r="P591" s="10">
        <v>2233.86</v>
      </c>
    </row>
    <row r="592" spans="1:16" s="12" customFormat="1" ht="36" x14ac:dyDescent="0.25">
      <c r="B592" s="13" t="s">
        <v>302</v>
      </c>
      <c r="C592" s="19">
        <v>2022</v>
      </c>
      <c r="D592" s="38">
        <v>20601647649</v>
      </c>
      <c r="E592" s="14" t="s">
        <v>42</v>
      </c>
      <c r="F592" s="15" t="s">
        <v>43</v>
      </c>
      <c r="G592" s="16" t="str">
        <f t="shared" si="84"/>
        <v>G Comercio al por mayor y al por menor; reparación de vehículos automotores y motocicletas</v>
      </c>
      <c r="H592" s="14" t="str">
        <f t="shared" si="87"/>
        <v>46</v>
      </c>
      <c r="I592" s="17" t="s">
        <v>44</v>
      </c>
      <c r="J592" s="17" t="str">
        <f t="shared" si="85"/>
        <v>46 Comercio al por mayor, excepto el de vehículos automotores y motocicletas</v>
      </c>
      <c r="K592" s="14" t="str">
        <f t="shared" si="88"/>
        <v>462</v>
      </c>
      <c r="L592" s="15" t="s">
        <v>126</v>
      </c>
      <c r="M592" s="18" t="s">
        <v>127</v>
      </c>
      <c r="N592" s="15" t="s">
        <v>126</v>
      </c>
      <c r="O592" s="16" t="str">
        <f t="shared" si="86"/>
        <v>4620 Ventas al por mayor de materias primas agropecuarias y animales vivos</v>
      </c>
      <c r="P592" s="10">
        <v>802909.46000000008</v>
      </c>
    </row>
    <row r="593" spans="1:16" s="12" customFormat="1" ht="36" x14ac:dyDescent="0.25">
      <c r="B593" s="13" t="s">
        <v>302</v>
      </c>
      <c r="C593" s="19">
        <v>2023</v>
      </c>
      <c r="D593" s="38">
        <v>20601647649</v>
      </c>
      <c r="E593" s="14" t="s">
        <v>42</v>
      </c>
      <c r="F593" s="15" t="s">
        <v>43</v>
      </c>
      <c r="G593" s="16" t="str">
        <f t="shared" si="84"/>
        <v>G Comercio al por mayor y al por menor; reparación de vehículos automotores y motocicletas</v>
      </c>
      <c r="H593" s="14" t="str">
        <f t="shared" si="87"/>
        <v>46</v>
      </c>
      <c r="I593" s="17" t="s">
        <v>44</v>
      </c>
      <c r="J593" s="17" t="str">
        <f t="shared" si="85"/>
        <v>46 Comercio al por mayor, excepto el de vehículos automotores y motocicletas</v>
      </c>
      <c r="K593" s="14" t="str">
        <f t="shared" si="88"/>
        <v>462</v>
      </c>
      <c r="L593" s="15" t="s">
        <v>126</v>
      </c>
      <c r="M593" s="18" t="s">
        <v>127</v>
      </c>
      <c r="N593" s="15" t="s">
        <v>126</v>
      </c>
      <c r="O593" s="16" t="str">
        <f t="shared" si="86"/>
        <v>4620 Ventas al por mayor de materias primas agropecuarias y animales vivos</v>
      </c>
      <c r="P593" s="10">
        <v>62839.819999999992</v>
      </c>
    </row>
    <row r="594" spans="1:16" s="12" customFormat="1" x14ac:dyDescent="0.25">
      <c r="B594" s="13" t="s">
        <v>239</v>
      </c>
      <c r="C594" s="19">
        <v>2017</v>
      </c>
      <c r="D594" s="38">
        <v>20601712521</v>
      </c>
      <c r="E594" s="14" t="s">
        <v>23</v>
      </c>
      <c r="F594" s="15" t="s">
        <v>24</v>
      </c>
      <c r="G594" s="16" t="str">
        <f t="shared" si="84"/>
        <v>C Industria manufacturera</v>
      </c>
      <c r="H594" s="14" t="str">
        <f t="shared" si="87"/>
        <v>32</v>
      </c>
      <c r="I594" s="17" t="s">
        <v>240</v>
      </c>
      <c r="J594" s="17" t="str">
        <f t="shared" si="85"/>
        <v>32 Otras industrias manufactureras</v>
      </c>
      <c r="K594" s="14" t="str">
        <f t="shared" si="88"/>
        <v>324</v>
      </c>
      <c r="L594" s="15" t="s">
        <v>241</v>
      </c>
      <c r="M594" s="18" t="s">
        <v>242</v>
      </c>
      <c r="N594" s="15" t="s">
        <v>241</v>
      </c>
      <c r="O594" s="16" t="str">
        <f t="shared" si="86"/>
        <v>3240 Fabricación de juegos y juguetes</v>
      </c>
      <c r="P594" s="10">
        <v>300600.63</v>
      </c>
    </row>
    <row r="595" spans="1:16" s="12" customFormat="1" x14ac:dyDescent="0.25">
      <c r="B595" s="13" t="s">
        <v>239</v>
      </c>
      <c r="C595" s="19">
        <v>2018</v>
      </c>
      <c r="D595" s="38">
        <v>20601712521</v>
      </c>
      <c r="E595" s="14" t="s">
        <v>23</v>
      </c>
      <c r="F595" s="15" t="s">
        <v>24</v>
      </c>
      <c r="G595" s="16" t="str">
        <f t="shared" si="84"/>
        <v>C Industria manufacturera</v>
      </c>
      <c r="H595" s="14" t="str">
        <f t="shared" si="87"/>
        <v>32</v>
      </c>
      <c r="I595" s="17" t="s">
        <v>240</v>
      </c>
      <c r="J595" s="17" t="str">
        <f t="shared" si="85"/>
        <v>32 Otras industrias manufactureras</v>
      </c>
      <c r="K595" s="14" t="str">
        <f t="shared" si="88"/>
        <v>324</v>
      </c>
      <c r="L595" s="15" t="s">
        <v>241</v>
      </c>
      <c r="M595" s="18" t="s">
        <v>242</v>
      </c>
      <c r="N595" s="15" t="s">
        <v>241</v>
      </c>
      <c r="O595" s="16" t="str">
        <f t="shared" si="86"/>
        <v>3240 Fabricación de juegos y juguetes</v>
      </c>
      <c r="P595" s="10">
        <v>4816.84</v>
      </c>
    </row>
    <row r="596" spans="1:16" s="12" customFormat="1" ht="36" x14ac:dyDescent="0.25">
      <c r="B596" s="13" t="s">
        <v>309</v>
      </c>
      <c r="C596" s="19">
        <v>2022</v>
      </c>
      <c r="D596" s="38">
        <v>20602008879</v>
      </c>
      <c r="E596" s="14" t="s">
        <v>42</v>
      </c>
      <c r="F596" s="15" t="s">
        <v>43</v>
      </c>
      <c r="G596" s="16" t="str">
        <f t="shared" si="84"/>
        <v>G Comercio al por mayor y al por menor; reparación de vehículos automotores y motocicletas</v>
      </c>
      <c r="H596" s="14" t="str">
        <f t="shared" si="87"/>
        <v>46</v>
      </c>
      <c r="I596" s="17" t="s">
        <v>44</v>
      </c>
      <c r="J596" s="17" t="str">
        <f t="shared" si="85"/>
        <v>46 Comercio al por mayor, excepto el de vehículos automotores y motocicletas</v>
      </c>
      <c r="K596" s="14" t="str">
        <f t="shared" si="88"/>
        <v>466</v>
      </c>
      <c r="L596" s="15" t="s">
        <v>59</v>
      </c>
      <c r="M596" s="18" t="s">
        <v>60</v>
      </c>
      <c r="N596" s="15" t="s">
        <v>61</v>
      </c>
      <c r="O596" s="16" t="str">
        <f t="shared" si="86"/>
        <v>4663 Venta al por mayor de materiales de construcción, artículos de ferretería y equipo y materiales de fontanería y calefacción</v>
      </c>
      <c r="P596" s="10">
        <v>73123.53</v>
      </c>
    </row>
    <row r="597" spans="1:16" s="12" customFormat="1" ht="36" x14ac:dyDescent="0.25">
      <c r="B597" s="13" t="s">
        <v>323</v>
      </c>
      <c r="C597" s="19">
        <v>2023</v>
      </c>
      <c r="D597" s="38">
        <v>20602237525</v>
      </c>
      <c r="E597" s="14" t="s">
        <v>42</v>
      </c>
      <c r="F597" s="15" t="s">
        <v>43</v>
      </c>
      <c r="G597" s="16" t="str">
        <f t="shared" si="84"/>
        <v>G Comercio al por mayor y al por menor; reparación de vehículos automotores y motocicletas</v>
      </c>
      <c r="H597" s="14" t="str">
        <f t="shared" si="87"/>
        <v>46</v>
      </c>
      <c r="I597" s="17" t="s">
        <v>44</v>
      </c>
      <c r="J597" s="17" t="str">
        <f t="shared" si="85"/>
        <v>46 Comercio al por mayor, excepto el de vehículos automotores y motocicletas</v>
      </c>
      <c r="K597" s="14" t="str">
        <f t="shared" si="88"/>
        <v>469</v>
      </c>
      <c r="L597" s="15" t="s">
        <v>45</v>
      </c>
      <c r="M597" s="18" t="s">
        <v>46</v>
      </c>
      <c r="N597" s="15" t="s">
        <v>45</v>
      </c>
      <c r="O597" s="16" t="str">
        <f t="shared" si="86"/>
        <v>4690 Venta al por mayor no especializada</v>
      </c>
      <c r="P597" s="10">
        <v>38085.599999999999</v>
      </c>
    </row>
    <row r="598" spans="1:16" s="12" customFormat="1" ht="36" x14ac:dyDescent="0.25">
      <c r="A598" s="12">
        <v>12</v>
      </c>
      <c r="B598" s="13" t="s">
        <v>264</v>
      </c>
      <c r="C598" s="19">
        <v>2025</v>
      </c>
      <c r="D598" s="38" t="s">
        <v>377</v>
      </c>
      <c r="E598" s="14" t="s">
        <v>23</v>
      </c>
      <c r="F598" s="15" t="s">
        <v>24</v>
      </c>
      <c r="G598" s="16" t="str">
        <f t="shared" si="84"/>
        <v>C Industria manufacturera</v>
      </c>
      <c r="H598" s="14" t="str">
        <f t="shared" si="87"/>
        <v>25</v>
      </c>
      <c r="I598" s="17" t="s">
        <v>90</v>
      </c>
      <c r="J598" s="17" t="str">
        <f t="shared" si="85"/>
        <v>25 Fabricación de productos elaborados de metal, excepto maquinaria y equipo</v>
      </c>
      <c r="K598" s="14" t="str">
        <f t="shared" si="88"/>
        <v>259</v>
      </c>
      <c r="L598" s="15" t="s">
        <v>91</v>
      </c>
      <c r="M598" s="18" t="s">
        <v>92</v>
      </c>
      <c r="N598" s="15" t="s">
        <v>93</v>
      </c>
      <c r="O598" s="16" t="str">
        <f t="shared" si="86"/>
        <v>2591 Forja, prensado, estampado y laminado de metales; pulvimetalurgia</v>
      </c>
      <c r="P598" s="10">
        <v>77557.320000000007</v>
      </c>
    </row>
    <row r="599" spans="1:16" s="12" customFormat="1" ht="24" x14ac:dyDescent="0.25">
      <c r="B599" s="13" t="s">
        <v>78</v>
      </c>
      <c r="C599" s="19">
        <v>2006</v>
      </c>
      <c r="D599" s="38" t="s">
        <v>79</v>
      </c>
      <c r="E599" s="14" t="s">
        <v>16</v>
      </c>
      <c r="F599" s="15" t="s">
        <v>17</v>
      </c>
      <c r="G599" s="16" t="str">
        <f t="shared" si="84"/>
        <v>B Explotación de minas y canteras</v>
      </c>
      <c r="H599" s="14" t="str">
        <f t="shared" si="87"/>
        <v>07</v>
      </c>
      <c r="I599" s="17" t="s">
        <v>18</v>
      </c>
      <c r="J599" s="17" t="str">
        <f t="shared" si="85"/>
        <v>07 Extracción de minerales metalíferos</v>
      </c>
      <c r="K599" s="14" t="str">
        <f t="shared" si="88"/>
        <v>072</v>
      </c>
      <c r="L599" s="15" t="s">
        <v>19</v>
      </c>
      <c r="M599" s="18" t="s">
        <v>20</v>
      </c>
      <c r="N599" s="15" t="s">
        <v>21</v>
      </c>
      <c r="O599" s="16" t="str">
        <f t="shared" si="86"/>
        <v>0729 Extracción de otros minerales metalíferos no ferrosos</v>
      </c>
      <c r="P599" s="10">
        <v>124616.19</v>
      </c>
    </row>
    <row r="600" spans="1:16" s="12" customFormat="1" ht="24" x14ac:dyDescent="0.25">
      <c r="B600" s="13" t="s">
        <v>78</v>
      </c>
      <c r="C600" s="19">
        <v>2007</v>
      </c>
      <c r="D600" s="38" t="s">
        <v>79</v>
      </c>
      <c r="E600" s="14" t="s">
        <v>16</v>
      </c>
      <c r="F600" s="15" t="s">
        <v>17</v>
      </c>
      <c r="G600" s="16" t="str">
        <f t="shared" si="84"/>
        <v>B Explotación de minas y canteras</v>
      </c>
      <c r="H600" s="14" t="str">
        <f t="shared" si="87"/>
        <v>07</v>
      </c>
      <c r="I600" s="17" t="s">
        <v>18</v>
      </c>
      <c r="J600" s="17" t="str">
        <f t="shared" si="85"/>
        <v>07 Extracción de minerales metalíferos</v>
      </c>
      <c r="K600" s="14" t="str">
        <f t="shared" si="88"/>
        <v>072</v>
      </c>
      <c r="L600" s="15" t="s">
        <v>19</v>
      </c>
      <c r="M600" s="18" t="s">
        <v>20</v>
      </c>
      <c r="N600" s="15" t="s">
        <v>21</v>
      </c>
      <c r="O600" s="16" t="str">
        <f t="shared" si="86"/>
        <v>0729 Extracción de otros minerales metalíferos no ferrosos</v>
      </c>
      <c r="P600" s="10">
        <v>129152.25</v>
      </c>
    </row>
    <row r="601" spans="1:16" s="12" customFormat="1" ht="24" x14ac:dyDescent="0.25">
      <c r="B601" s="13" t="s">
        <v>78</v>
      </c>
      <c r="C601" s="19">
        <v>2008</v>
      </c>
      <c r="D601" s="38" t="s">
        <v>79</v>
      </c>
      <c r="E601" s="14" t="s">
        <v>16</v>
      </c>
      <c r="F601" s="15" t="s">
        <v>17</v>
      </c>
      <c r="G601" s="16" t="str">
        <f t="shared" si="84"/>
        <v>B Explotación de minas y canteras</v>
      </c>
      <c r="H601" s="14" t="str">
        <f t="shared" si="87"/>
        <v>07</v>
      </c>
      <c r="I601" s="17" t="s">
        <v>18</v>
      </c>
      <c r="J601" s="17" t="str">
        <f t="shared" si="85"/>
        <v>07 Extracción de minerales metalíferos</v>
      </c>
      <c r="K601" s="14" t="str">
        <f t="shared" si="88"/>
        <v>072</v>
      </c>
      <c r="L601" s="15" t="s">
        <v>19</v>
      </c>
      <c r="M601" s="18" t="s">
        <v>20</v>
      </c>
      <c r="N601" s="15" t="s">
        <v>21</v>
      </c>
      <c r="O601" s="16" t="str">
        <f t="shared" si="86"/>
        <v>0729 Extracción de otros minerales metalíferos no ferrosos</v>
      </c>
      <c r="P601" s="10">
        <v>64625.21</v>
      </c>
    </row>
    <row r="602" spans="1:16" s="12" customFormat="1" ht="24" x14ac:dyDescent="0.25">
      <c r="B602" s="13" t="s">
        <v>78</v>
      </c>
      <c r="C602" s="19">
        <v>2009</v>
      </c>
      <c r="D602" s="38" t="s">
        <v>79</v>
      </c>
      <c r="E602" s="14" t="s">
        <v>16</v>
      </c>
      <c r="F602" s="15" t="s">
        <v>17</v>
      </c>
      <c r="G602" s="16" t="str">
        <f t="shared" si="84"/>
        <v>B Explotación de minas y canteras</v>
      </c>
      <c r="H602" s="14" t="str">
        <f t="shared" si="87"/>
        <v>07</v>
      </c>
      <c r="I602" s="17" t="s">
        <v>18</v>
      </c>
      <c r="J602" s="17" t="str">
        <f t="shared" si="85"/>
        <v>07 Extracción de minerales metalíferos</v>
      </c>
      <c r="K602" s="14" t="str">
        <f t="shared" si="88"/>
        <v>072</v>
      </c>
      <c r="L602" s="15" t="s">
        <v>19</v>
      </c>
      <c r="M602" s="18" t="s">
        <v>20</v>
      </c>
      <c r="N602" s="15" t="s">
        <v>21</v>
      </c>
      <c r="O602" s="16" t="str">
        <f t="shared" si="86"/>
        <v>0729 Extracción de otros minerales metalíferos no ferrosos</v>
      </c>
      <c r="P602" s="10">
        <v>58621.62</v>
      </c>
    </row>
    <row r="603" spans="1:16" s="12" customFormat="1" ht="24" x14ac:dyDescent="0.25">
      <c r="B603" s="13" t="s">
        <v>78</v>
      </c>
      <c r="C603" s="19">
        <v>2011</v>
      </c>
      <c r="D603" s="38" t="s">
        <v>79</v>
      </c>
      <c r="E603" s="14" t="s">
        <v>16</v>
      </c>
      <c r="F603" s="15" t="s">
        <v>17</v>
      </c>
      <c r="G603" s="16" t="str">
        <f t="shared" si="84"/>
        <v>B Explotación de minas y canteras</v>
      </c>
      <c r="H603" s="14" t="str">
        <f t="shared" si="87"/>
        <v>07</v>
      </c>
      <c r="I603" s="17" t="s">
        <v>18</v>
      </c>
      <c r="J603" s="17" t="str">
        <f t="shared" si="85"/>
        <v>07 Extracción de minerales metalíferos</v>
      </c>
      <c r="K603" s="14" t="str">
        <f t="shared" si="88"/>
        <v>072</v>
      </c>
      <c r="L603" s="15" t="s">
        <v>19</v>
      </c>
      <c r="M603" s="18" t="s">
        <v>20</v>
      </c>
      <c r="N603" s="15" t="s">
        <v>21</v>
      </c>
      <c r="O603" s="16" t="str">
        <f t="shared" si="86"/>
        <v>0729 Extracción de otros minerales metalíferos no ferrosos</v>
      </c>
      <c r="P603" s="10">
        <v>210569.4</v>
      </c>
    </row>
    <row r="604" spans="1:16" s="12" customFormat="1" ht="24" x14ac:dyDescent="0.25">
      <c r="B604" s="13" t="s">
        <v>78</v>
      </c>
      <c r="C604" s="19">
        <v>2012</v>
      </c>
      <c r="D604" s="38" t="s">
        <v>79</v>
      </c>
      <c r="E604" s="14" t="s">
        <v>16</v>
      </c>
      <c r="F604" s="15" t="s">
        <v>17</v>
      </c>
      <c r="G604" s="16" t="str">
        <f t="shared" si="84"/>
        <v>B Explotación de minas y canteras</v>
      </c>
      <c r="H604" s="14" t="str">
        <f t="shared" si="87"/>
        <v>07</v>
      </c>
      <c r="I604" s="17" t="s">
        <v>18</v>
      </c>
      <c r="J604" s="17" t="str">
        <f t="shared" si="85"/>
        <v>07 Extracción de minerales metalíferos</v>
      </c>
      <c r="K604" s="14" t="str">
        <f t="shared" si="88"/>
        <v>072</v>
      </c>
      <c r="L604" s="15" t="s">
        <v>19</v>
      </c>
      <c r="M604" s="18" t="s">
        <v>20</v>
      </c>
      <c r="N604" s="15" t="s">
        <v>21</v>
      </c>
      <c r="O604" s="16" t="str">
        <f t="shared" si="86"/>
        <v>0729 Extracción de otros minerales metalíferos no ferrosos</v>
      </c>
      <c r="P604" s="10">
        <v>914496.45</v>
      </c>
    </row>
    <row r="605" spans="1:16" s="12" customFormat="1" ht="24" x14ac:dyDescent="0.25">
      <c r="B605" s="13" t="s">
        <v>78</v>
      </c>
      <c r="C605" s="19">
        <v>2013</v>
      </c>
      <c r="D605" s="38" t="s">
        <v>79</v>
      </c>
      <c r="E605" s="14" t="s">
        <v>16</v>
      </c>
      <c r="F605" s="15" t="s">
        <v>17</v>
      </c>
      <c r="G605" s="16" t="str">
        <f t="shared" si="84"/>
        <v>B Explotación de minas y canteras</v>
      </c>
      <c r="H605" s="14" t="str">
        <f t="shared" si="87"/>
        <v>07</v>
      </c>
      <c r="I605" s="17" t="s">
        <v>18</v>
      </c>
      <c r="J605" s="17" t="str">
        <f t="shared" si="85"/>
        <v>07 Extracción de minerales metalíferos</v>
      </c>
      <c r="K605" s="14" t="str">
        <f t="shared" si="88"/>
        <v>072</v>
      </c>
      <c r="L605" s="15" t="s">
        <v>19</v>
      </c>
      <c r="M605" s="18" t="s">
        <v>20</v>
      </c>
      <c r="N605" s="15" t="s">
        <v>21</v>
      </c>
      <c r="O605" s="16" t="str">
        <f t="shared" si="86"/>
        <v>0729 Extracción de otros minerales metalíferos no ferrosos</v>
      </c>
      <c r="P605" s="10">
        <v>1040458.56</v>
      </c>
    </row>
    <row r="606" spans="1:16" s="41" customFormat="1" ht="36" x14ac:dyDescent="0.25">
      <c r="A606" s="12"/>
      <c r="B606" s="13" t="s">
        <v>123</v>
      </c>
      <c r="C606" s="19">
        <v>2008</v>
      </c>
      <c r="D606" s="38" t="s">
        <v>124</v>
      </c>
      <c r="E606" s="14" t="s">
        <v>42</v>
      </c>
      <c r="F606" s="15" t="s">
        <v>43</v>
      </c>
      <c r="G606" s="16" t="str">
        <f t="shared" si="84"/>
        <v>G Comercio al por mayor y al por menor; reparación de vehículos automotores y motocicletas</v>
      </c>
      <c r="H606" s="14" t="str">
        <f t="shared" si="87"/>
        <v>46</v>
      </c>
      <c r="I606" s="17" t="s">
        <v>44</v>
      </c>
      <c r="J606" s="17" t="str">
        <f t="shared" si="85"/>
        <v>46 Comercio al por mayor, excepto el de vehículos automotores y motocicletas</v>
      </c>
      <c r="K606" s="14" t="str">
        <f t="shared" si="88"/>
        <v>469</v>
      </c>
      <c r="L606" s="15" t="s">
        <v>45</v>
      </c>
      <c r="M606" s="18" t="s">
        <v>46</v>
      </c>
      <c r="N606" s="15" t="s">
        <v>45</v>
      </c>
      <c r="O606" s="16" t="str">
        <f t="shared" si="86"/>
        <v>4690 Venta al por mayor no especializada</v>
      </c>
      <c r="P606" s="10">
        <v>21661.010000000002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CON RAZON SOCIAL VIGENTE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Herrera</dc:creator>
  <cp:lastModifiedBy>Jaime  Duran Vizarraga</cp:lastModifiedBy>
  <dcterms:created xsi:type="dcterms:W3CDTF">2025-10-20T21:18:40Z</dcterms:created>
  <dcterms:modified xsi:type="dcterms:W3CDTF">2026-03-17T13:57:58Z</dcterms:modified>
</cp:coreProperties>
</file>