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CHO\Desktop\graficos\"/>
    </mc:Choice>
  </mc:AlternateContent>
  <xr:revisionPtr revIDLastSave="0" documentId="13_ncr:1_{C5F271F6-4CBF-4E53-A932-E6E0BED00D85}" xr6:coauthVersionLast="47" xr6:coauthVersionMax="47" xr10:uidLastSave="{00000000-0000-0000-0000-000000000000}"/>
  <bookViews>
    <workbookView xWindow="-120" yWindow="-120" windowWidth="20730" windowHeight="11040" activeTab="1" xr2:uid="{94B354D7-74F9-453C-A7B2-E35C00877C75}"/>
  </bookViews>
  <sheets>
    <sheet name="finanzas" sheetId="2" r:id="rId1"/>
    <sheet name="aportantes" sheetId="1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5" i="2"/>
  <c r="D4" i="2"/>
  <c r="D3" i="2"/>
  <c r="D2" i="2"/>
</calcChain>
</file>

<file path=xl/sharedStrings.xml><?xml version="1.0" encoding="utf-8"?>
<sst xmlns="http://schemas.openxmlformats.org/spreadsheetml/2006/main" count="27" uniqueCount="24">
  <si>
    <t>EMPRESA</t>
  </si>
  <si>
    <t>KALLPA GENERACION S.A.</t>
  </si>
  <si>
    <t>COIMOLACHE S.A.</t>
  </si>
  <si>
    <t>MOLINOS Y CIA. S.A.</t>
  </si>
  <si>
    <t>AMERICATEL PERÚ S.A.</t>
  </si>
  <si>
    <t>MINERA MISKI MAYO S.R.L.</t>
  </si>
  <si>
    <t>SOUTHERN PERU</t>
  </si>
  <si>
    <t>SHOUGANG HIERRO PERU</t>
  </si>
  <si>
    <t>TGP DEL PERU S.A.</t>
  </si>
  <si>
    <t>CNPC PERU S.A.C.</t>
  </si>
  <si>
    <t>ANTAMINA S.A.</t>
  </si>
  <si>
    <t>ELECTROPERU S.A.</t>
  </si>
  <si>
    <t>MINERA SHOUXIN</t>
  </si>
  <si>
    <t xml:space="preserve">REPSOL DEL PERU </t>
  </si>
  <si>
    <t>Año</t>
  </si>
  <si>
    <t xml:space="preserve">Aportes  </t>
  </si>
  <si>
    <t>Intereses</t>
  </si>
  <si>
    <t>Proyectos</t>
  </si>
  <si>
    <t>Becas</t>
  </si>
  <si>
    <t>G. Operativos</t>
  </si>
  <si>
    <t>2025*</t>
  </si>
  <si>
    <t>2026**</t>
  </si>
  <si>
    <t>Al cierre del Año</t>
  </si>
  <si>
    <t>Saldos en Bancos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</si>
</sst>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S/&quot;\ #,##0.00"/>
    <numFmt numFmtId="165" formatCode="###0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0" fillId="2" borderId="1" xfId="0" applyFill="1" applyBorder="1"/>
    <xf numFmtId="164" fontId="0" fillId="0" borderId="1" xfId="0" applyNumberFormat="1" applyBorder="1"/>
    <xf numFmtId="0" fontId="0" fillId="3" borderId="1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ESTADO DE RESULTADOS ECONOMICO FINANCIERO AL CIERRE DEL 2021 AL 2026</a:t>
            </a:r>
          </a:p>
          <a:p>
            <a:pPr>
              <a:defRPr/>
            </a:pPr>
            <a:r>
              <a:rPr lang="es-E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(en millones de soles)</a:t>
            </a:r>
            <a:endParaRPr lang="es-PE" sz="1400" b="0" i="0" u="none" strike="noStrike" kern="1200" spc="0" baseline="0" dirty="0">
              <a:solidFill>
                <a:prstClr val="black">
                  <a:lumMod val="65000"/>
                  <a:lumOff val="35000"/>
                </a:prstClr>
              </a:solidFill>
            </a:endParaRPr>
          </a:p>
        </c:rich>
      </c:tx>
      <c:layout>
        <c:manualLayout>
          <c:xMode val="edge"/>
          <c:yMode val="edge"/>
          <c:x val="0.14463834460218675"/>
          <c:y val="2.3676845439239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0800347211417119"/>
          <c:y val="0.14433128863895264"/>
          <c:w val="0.82685367046441816"/>
          <c:h val="0.51373773177746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finanzas!$A$1</c:f>
              <c:strCache>
                <c:ptCount val="1"/>
                <c:pt idx="0">
                  <c:v>Año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finanzas!$A$2:$A$7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2025*</c:v>
                </c:pt>
                <c:pt idx="5">
                  <c:v>2026**</c:v>
                </c:pt>
              </c:strCache>
            </c:strRef>
          </c:cat>
          <c:val>
            <c:numRef>
              <c:f>finanzas!$A$2:$A$7</c:f>
              <c:numCache>
                <c:formatCode>###0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A-4A44-A23F-3847580FD5FB}"/>
            </c:ext>
          </c:extLst>
        </c:ser>
        <c:ser>
          <c:idx val="1"/>
          <c:order val="1"/>
          <c:tx>
            <c:strRef>
              <c:f>finanzas!$B$1</c:f>
              <c:strCache>
                <c:ptCount val="1"/>
                <c:pt idx="0">
                  <c:v>Aportes  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finanzas!$A$2:$A$7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2025*</c:v>
                </c:pt>
                <c:pt idx="5">
                  <c:v>2026**</c:v>
                </c:pt>
              </c:strCache>
            </c:strRef>
          </c:cat>
          <c:val>
            <c:numRef>
              <c:f>finanzas!$B$2:$B$7</c:f>
              <c:numCache>
                <c:formatCode>_-* #,##0_-;\-* #,##0_-;_-* "-"??_-;_-@_-</c:formatCode>
                <c:ptCount val="6"/>
                <c:pt idx="0">
                  <c:v>13804509</c:v>
                </c:pt>
                <c:pt idx="1">
                  <c:v>127931557</c:v>
                </c:pt>
                <c:pt idx="2">
                  <c:v>103249716</c:v>
                </c:pt>
                <c:pt idx="3">
                  <c:v>54552564</c:v>
                </c:pt>
                <c:pt idx="4">
                  <c:v>66450021</c:v>
                </c:pt>
                <c:pt idx="5">
                  <c:v>100000000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2A-4A44-A23F-3847580FD5FB}"/>
            </c:ext>
          </c:extLst>
        </c:ser>
        <c:ser>
          <c:idx val="2"/>
          <c:order val="2"/>
          <c:tx>
            <c:strRef>
              <c:f>finanzas!$C$1</c:f>
              <c:strCache>
                <c:ptCount val="1"/>
                <c:pt idx="0">
                  <c:v>Intereses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finanzas!$A$2:$A$7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2025*</c:v>
                </c:pt>
                <c:pt idx="5">
                  <c:v>2026**</c:v>
                </c:pt>
              </c:strCache>
            </c:strRef>
          </c:cat>
          <c:val>
            <c:numRef>
              <c:f>finanzas!$C$2:$C$7</c:f>
              <c:numCache>
                <c:formatCode>#,##0</c:formatCode>
                <c:ptCount val="6"/>
                <c:pt idx="0">
                  <c:v>1597409</c:v>
                </c:pt>
                <c:pt idx="1">
                  <c:v>13548953</c:v>
                </c:pt>
                <c:pt idx="2">
                  <c:v>28711119</c:v>
                </c:pt>
                <c:pt idx="3">
                  <c:v>18062981</c:v>
                </c:pt>
                <c:pt idx="4">
                  <c:v>12483698</c:v>
                </c:pt>
                <c:pt idx="5">
                  <c:v>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2A-4A44-A23F-3847580FD5FB}"/>
            </c:ext>
          </c:extLst>
        </c:ser>
        <c:ser>
          <c:idx val="3"/>
          <c:order val="3"/>
          <c:tx>
            <c:strRef>
              <c:f>finanzas!$D$1</c:f>
              <c:strCache>
                <c:ptCount val="1"/>
                <c:pt idx="0">
                  <c:v>G. Operativos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finanzas!$A$2:$A$7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2025*</c:v>
                </c:pt>
                <c:pt idx="5">
                  <c:v>2026**</c:v>
                </c:pt>
              </c:strCache>
            </c:strRef>
          </c:cat>
          <c:val>
            <c:numRef>
              <c:f>finanzas!$D$2:$D$7</c:f>
              <c:numCache>
                <c:formatCode>_-* #,##0_-;\-* #,##0_-;_-* "-"??_-;_-@_-</c:formatCode>
                <c:ptCount val="6"/>
                <c:pt idx="0">
                  <c:v>5623485</c:v>
                </c:pt>
                <c:pt idx="1">
                  <c:v>7962565</c:v>
                </c:pt>
                <c:pt idx="2">
                  <c:v>5928766</c:v>
                </c:pt>
                <c:pt idx="3">
                  <c:v>6671455</c:v>
                </c:pt>
                <c:pt idx="4">
                  <c:v>8694026</c:v>
                </c:pt>
                <c:pt idx="5">
                  <c:v>10000000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2A-4A44-A23F-3847580FD5FB}"/>
            </c:ext>
          </c:extLst>
        </c:ser>
        <c:ser>
          <c:idx val="4"/>
          <c:order val="4"/>
          <c:tx>
            <c:strRef>
              <c:f>finanzas!$E$1</c:f>
              <c:strCache>
                <c:ptCount val="1"/>
                <c:pt idx="0">
                  <c:v>Proyectos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C2A-4A44-A23F-3847580FD5F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finanzas!$A$2:$A$7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2025*</c:v>
                </c:pt>
                <c:pt idx="5">
                  <c:v>2026**</c:v>
                </c:pt>
              </c:strCache>
            </c:strRef>
          </c:cat>
          <c:val>
            <c:numRef>
              <c:f>finanzas!$E$2:$E$7</c:f>
              <c:numCache>
                <c:formatCode>#,##0.00</c:formatCode>
                <c:ptCount val="6"/>
                <c:pt idx="0">
                  <c:v>12058986</c:v>
                </c:pt>
                <c:pt idx="1">
                  <c:v>1715255.8800000004</c:v>
                </c:pt>
                <c:pt idx="2">
                  <c:v>3948624.7700000009</c:v>
                </c:pt>
                <c:pt idx="3">
                  <c:v>3994583.31</c:v>
                </c:pt>
                <c:pt idx="4">
                  <c:v>3850033.3329999996</c:v>
                </c:pt>
                <c:pt idx="5">
                  <c:v>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2A-4A44-A23F-3847580FD5FB}"/>
            </c:ext>
          </c:extLst>
        </c:ser>
        <c:ser>
          <c:idx val="5"/>
          <c:order val="5"/>
          <c:tx>
            <c:strRef>
              <c:f>finanzas!$F$1</c:f>
              <c:strCache>
                <c:ptCount val="1"/>
                <c:pt idx="0">
                  <c:v>Becas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finanzas!$A$2:$A$7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2025*</c:v>
                </c:pt>
                <c:pt idx="5">
                  <c:v>2026**</c:v>
                </c:pt>
              </c:strCache>
            </c:strRef>
          </c:cat>
          <c:val>
            <c:numRef>
              <c:f>finanzas!$F$2:$F$7</c:f>
              <c:numCache>
                <c:formatCode>#,##0</c:formatCode>
                <c:ptCount val="6"/>
                <c:pt idx="0">
                  <c:v>9777</c:v>
                </c:pt>
                <c:pt idx="1">
                  <c:v>1877586.1199999996</c:v>
                </c:pt>
                <c:pt idx="2">
                  <c:v>4022535.2299999991</c:v>
                </c:pt>
                <c:pt idx="3">
                  <c:v>2540187.69</c:v>
                </c:pt>
                <c:pt idx="4">
                  <c:v>2952110.6670000004</c:v>
                </c:pt>
                <c:pt idx="5">
                  <c:v>12000000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A-4582-BC3D-FE0FB2C3EE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22178143"/>
        <c:axId val="1222178623"/>
      </c:barChart>
      <c:catAx>
        <c:axId val="122217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22178623"/>
        <c:crosses val="autoZero"/>
        <c:auto val="1"/>
        <c:lblAlgn val="ctr"/>
        <c:lblOffset val="100"/>
        <c:noMultiLvlLbl val="0"/>
      </c:catAx>
      <c:valAx>
        <c:axId val="122217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22178143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s-PE"/>
                    <a:t>Millones soles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legendEntry>
      <c:layout>
        <c:manualLayout>
          <c:xMode val="edge"/>
          <c:yMode val="edge"/>
          <c:x val="0.18067006034470146"/>
          <c:y val="0.79346601775280601"/>
          <c:w val="0.56373848108922919"/>
          <c:h val="7.76095297712467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APORTES DEPOSITADOS A FONDOEMPLEO POR EMPRESA 2021-2025 EN MILLONES DE SOLES</a:t>
            </a:r>
          </a:p>
        </c:rich>
      </c:tx>
      <c:layout>
        <c:manualLayout>
          <c:xMode val="edge"/>
          <c:yMode val="edge"/>
          <c:x val="0.20531682700218562"/>
          <c:y val="3.29428765333057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27684702983806581"/>
          <c:y val="0.10941185292715262"/>
          <c:w val="0.68118456376115888"/>
          <c:h val="0.795808732607786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aportantes!$B$1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21-4939-A685-B7E1E15AF39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21-4939-A685-B7E1E15AF39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21-4939-A685-B7E1E15AF39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21-4939-A685-B7E1E15AF39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aportantes!$A$2:$A$14</c:f>
              <c:strCache>
                <c:ptCount val="13"/>
                <c:pt idx="0">
                  <c:v>KALLPA GENERACION S.A.</c:v>
                </c:pt>
                <c:pt idx="1">
                  <c:v>COIMOLACHE S.A.</c:v>
                </c:pt>
                <c:pt idx="2">
                  <c:v>MOLINOS Y CIA. S.A.</c:v>
                </c:pt>
                <c:pt idx="3">
                  <c:v>AMERICATEL PERÚ S.A.</c:v>
                </c:pt>
                <c:pt idx="4">
                  <c:v>MINERA MISKI MAYO S.R.L.</c:v>
                </c:pt>
                <c:pt idx="5">
                  <c:v>SOUTHERN PERU</c:v>
                </c:pt>
                <c:pt idx="6">
                  <c:v>SHOUGANG HIERRO PERU</c:v>
                </c:pt>
                <c:pt idx="7">
                  <c:v>TGP DEL PERU S.A.</c:v>
                </c:pt>
                <c:pt idx="8">
                  <c:v>CNPC PERU S.A.C.</c:v>
                </c:pt>
                <c:pt idx="9">
                  <c:v>ANTAMINA S.A.</c:v>
                </c:pt>
                <c:pt idx="10">
                  <c:v>ELECTROPERU S.A.</c:v>
                </c:pt>
                <c:pt idx="11">
                  <c:v>MINERA SHOUXIN</c:v>
                </c:pt>
                <c:pt idx="12">
                  <c:v>REPSOL DEL PERU </c:v>
                </c:pt>
              </c:strCache>
            </c:strRef>
          </c:cat>
          <c:val>
            <c:numRef>
              <c:f>aportantes!$B$2:$B$14</c:f>
              <c:numCache>
                <c:formatCode>"S/"\ #,##0.00</c:formatCode>
                <c:ptCount val="13"/>
                <c:pt idx="1">
                  <c:v>2945220.29</c:v>
                </c:pt>
                <c:pt idx="2">
                  <c:v>5529.55</c:v>
                </c:pt>
                <c:pt idx="6">
                  <c:v>112757.75999999999</c:v>
                </c:pt>
                <c:pt idx="9">
                  <c:v>944276.61</c:v>
                </c:pt>
                <c:pt idx="10">
                  <c:v>1498767.05</c:v>
                </c:pt>
                <c:pt idx="11">
                  <c:v>19273.5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21-4939-A685-B7E1E15AF395}"/>
            </c:ext>
          </c:extLst>
        </c:ser>
        <c:ser>
          <c:idx val="1"/>
          <c:order val="1"/>
          <c:tx>
            <c:strRef>
              <c:f>aportantes!$C$1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aportantes!$A$2:$A$14</c:f>
              <c:strCache>
                <c:ptCount val="13"/>
                <c:pt idx="0">
                  <c:v>KALLPA GENERACION S.A.</c:v>
                </c:pt>
                <c:pt idx="1">
                  <c:v>COIMOLACHE S.A.</c:v>
                </c:pt>
                <c:pt idx="2">
                  <c:v>MOLINOS Y CIA. S.A.</c:v>
                </c:pt>
                <c:pt idx="3">
                  <c:v>AMERICATEL PERÚ S.A.</c:v>
                </c:pt>
                <c:pt idx="4">
                  <c:v>MINERA MISKI MAYO S.R.L.</c:v>
                </c:pt>
                <c:pt idx="5">
                  <c:v>SOUTHERN PERU</c:v>
                </c:pt>
                <c:pt idx="6">
                  <c:v>SHOUGANG HIERRO PERU</c:v>
                </c:pt>
                <c:pt idx="7">
                  <c:v>TGP DEL PERU S.A.</c:v>
                </c:pt>
                <c:pt idx="8">
                  <c:v>CNPC PERU S.A.C.</c:v>
                </c:pt>
                <c:pt idx="9">
                  <c:v>ANTAMINA S.A.</c:v>
                </c:pt>
                <c:pt idx="10">
                  <c:v>ELECTROPERU S.A.</c:v>
                </c:pt>
                <c:pt idx="11">
                  <c:v>MINERA SHOUXIN</c:v>
                </c:pt>
                <c:pt idx="12">
                  <c:v>REPSOL DEL PERU </c:v>
                </c:pt>
              </c:strCache>
            </c:strRef>
          </c:cat>
          <c:val>
            <c:numRef>
              <c:f>aportantes!$C$2:$C$14</c:f>
              <c:numCache>
                <c:formatCode>"S/"\ #,##0.00</c:formatCode>
                <c:ptCount val="13"/>
                <c:pt idx="1">
                  <c:v>5233598.66</c:v>
                </c:pt>
                <c:pt idx="2">
                  <c:v>4235113.0199999996</c:v>
                </c:pt>
                <c:pt idx="5">
                  <c:v>11460693.01</c:v>
                </c:pt>
                <c:pt idx="6">
                  <c:v>18828110.579999998</c:v>
                </c:pt>
                <c:pt idx="8">
                  <c:v>1374281.08</c:v>
                </c:pt>
                <c:pt idx="9">
                  <c:v>11883557.5</c:v>
                </c:pt>
                <c:pt idx="10">
                  <c:v>17473112.780000001</c:v>
                </c:pt>
                <c:pt idx="11">
                  <c:v>10259395.619999999</c:v>
                </c:pt>
                <c:pt idx="12">
                  <c:v>19360000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21-4939-A685-B7E1E15AF395}"/>
            </c:ext>
          </c:extLst>
        </c:ser>
        <c:ser>
          <c:idx val="2"/>
          <c:order val="2"/>
          <c:tx>
            <c:strRef>
              <c:f>aportantes!$D$1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aportantes!$A$2:$A$14</c:f>
              <c:strCache>
                <c:ptCount val="13"/>
                <c:pt idx="0">
                  <c:v>KALLPA GENERACION S.A.</c:v>
                </c:pt>
                <c:pt idx="1">
                  <c:v>COIMOLACHE S.A.</c:v>
                </c:pt>
                <c:pt idx="2">
                  <c:v>MOLINOS Y CIA. S.A.</c:v>
                </c:pt>
                <c:pt idx="3">
                  <c:v>AMERICATEL PERÚ S.A.</c:v>
                </c:pt>
                <c:pt idx="4">
                  <c:v>MINERA MISKI MAYO S.R.L.</c:v>
                </c:pt>
                <c:pt idx="5">
                  <c:v>SOUTHERN PERU</c:v>
                </c:pt>
                <c:pt idx="6">
                  <c:v>SHOUGANG HIERRO PERU</c:v>
                </c:pt>
                <c:pt idx="7">
                  <c:v>TGP DEL PERU S.A.</c:v>
                </c:pt>
                <c:pt idx="8">
                  <c:v>CNPC PERU S.A.C.</c:v>
                </c:pt>
                <c:pt idx="9">
                  <c:v>ANTAMINA S.A.</c:v>
                </c:pt>
                <c:pt idx="10">
                  <c:v>ELECTROPERU S.A.</c:v>
                </c:pt>
                <c:pt idx="11">
                  <c:v>MINERA SHOUXIN</c:v>
                </c:pt>
                <c:pt idx="12">
                  <c:v>REPSOL DEL PERU </c:v>
                </c:pt>
              </c:strCache>
            </c:strRef>
          </c:cat>
          <c:val>
            <c:numRef>
              <c:f>aportantes!$D$2:$D$14</c:f>
              <c:numCache>
                <c:formatCode>"S/"\ #,##0.00</c:formatCode>
                <c:ptCount val="13"/>
                <c:pt idx="2">
                  <c:v>5406332.6699999999</c:v>
                </c:pt>
                <c:pt idx="3">
                  <c:v>10120000</c:v>
                </c:pt>
                <c:pt idx="4">
                  <c:v>7763489</c:v>
                </c:pt>
                <c:pt idx="6">
                  <c:v>1081410.57</c:v>
                </c:pt>
                <c:pt idx="8">
                  <c:v>18695227.609999999</c:v>
                </c:pt>
                <c:pt idx="9">
                  <c:v>11466527.939999999</c:v>
                </c:pt>
                <c:pt idx="10">
                  <c:v>5188353.3900000006</c:v>
                </c:pt>
                <c:pt idx="11">
                  <c:v>10353975.17</c:v>
                </c:pt>
                <c:pt idx="12">
                  <c:v>20240000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21-4939-A685-B7E1E15AF395}"/>
            </c:ext>
          </c:extLst>
        </c:ser>
        <c:ser>
          <c:idx val="3"/>
          <c:order val="3"/>
          <c:tx>
            <c:strRef>
              <c:f>aportantes!$E$1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221-4939-A685-B7E1E15AF39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aportantes!$A$2:$A$14</c:f>
              <c:strCache>
                <c:ptCount val="13"/>
                <c:pt idx="0">
                  <c:v>KALLPA GENERACION S.A.</c:v>
                </c:pt>
                <c:pt idx="1">
                  <c:v>COIMOLACHE S.A.</c:v>
                </c:pt>
                <c:pt idx="2">
                  <c:v>MOLINOS Y CIA. S.A.</c:v>
                </c:pt>
                <c:pt idx="3">
                  <c:v>AMERICATEL PERÚ S.A.</c:v>
                </c:pt>
                <c:pt idx="4">
                  <c:v>MINERA MISKI MAYO S.R.L.</c:v>
                </c:pt>
                <c:pt idx="5">
                  <c:v>SOUTHERN PERU</c:v>
                </c:pt>
                <c:pt idx="6">
                  <c:v>SHOUGANG HIERRO PERU</c:v>
                </c:pt>
                <c:pt idx="7">
                  <c:v>TGP DEL PERU S.A.</c:v>
                </c:pt>
                <c:pt idx="8">
                  <c:v>CNPC PERU S.A.C.</c:v>
                </c:pt>
                <c:pt idx="9">
                  <c:v>ANTAMINA S.A.</c:v>
                </c:pt>
                <c:pt idx="10">
                  <c:v>ELECTROPERU S.A.</c:v>
                </c:pt>
                <c:pt idx="11">
                  <c:v>MINERA SHOUXIN</c:v>
                </c:pt>
                <c:pt idx="12">
                  <c:v>REPSOL DEL PERU </c:v>
                </c:pt>
              </c:strCache>
            </c:strRef>
          </c:cat>
          <c:val>
            <c:numRef>
              <c:f>aportantes!$E$2:$E$14</c:f>
              <c:numCache>
                <c:formatCode>"S/"\ #,##0.00</c:formatCode>
                <c:ptCount val="13"/>
                <c:pt idx="0">
                  <c:v>1694006.51</c:v>
                </c:pt>
                <c:pt idx="4">
                  <c:v>2777963.68</c:v>
                </c:pt>
                <c:pt idx="7">
                  <c:v>9937528.4900000002</c:v>
                </c:pt>
                <c:pt idx="8">
                  <c:v>1597905.72</c:v>
                </c:pt>
                <c:pt idx="9">
                  <c:v>1525902.8</c:v>
                </c:pt>
                <c:pt idx="10">
                  <c:v>58116.9</c:v>
                </c:pt>
                <c:pt idx="11">
                  <c:v>11056451.289999999</c:v>
                </c:pt>
                <c:pt idx="12">
                  <c:v>13661234.83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21-4939-A685-B7E1E15AF395}"/>
            </c:ext>
          </c:extLst>
        </c:ser>
        <c:ser>
          <c:idx val="4"/>
          <c:order val="4"/>
          <c:tx>
            <c:strRef>
              <c:f>aportantes!$F$1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221-4939-A685-B7E1E15AF39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221-4939-A685-B7E1E15AF39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aportantes!$A$2:$A$14</c:f>
              <c:strCache>
                <c:ptCount val="13"/>
                <c:pt idx="0">
                  <c:v>KALLPA GENERACION S.A.</c:v>
                </c:pt>
                <c:pt idx="1">
                  <c:v>COIMOLACHE S.A.</c:v>
                </c:pt>
                <c:pt idx="2">
                  <c:v>MOLINOS Y CIA. S.A.</c:v>
                </c:pt>
                <c:pt idx="3">
                  <c:v>AMERICATEL PERÚ S.A.</c:v>
                </c:pt>
                <c:pt idx="4">
                  <c:v>MINERA MISKI MAYO S.R.L.</c:v>
                </c:pt>
                <c:pt idx="5">
                  <c:v>SOUTHERN PERU</c:v>
                </c:pt>
                <c:pt idx="6">
                  <c:v>SHOUGANG HIERRO PERU</c:v>
                </c:pt>
                <c:pt idx="7">
                  <c:v>TGP DEL PERU S.A.</c:v>
                </c:pt>
                <c:pt idx="8">
                  <c:v>CNPC PERU S.A.C.</c:v>
                </c:pt>
                <c:pt idx="9">
                  <c:v>ANTAMINA S.A.</c:v>
                </c:pt>
                <c:pt idx="10">
                  <c:v>ELECTROPERU S.A.</c:v>
                </c:pt>
                <c:pt idx="11">
                  <c:v>MINERA SHOUXIN</c:v>
                </c:pt>
                <c:pt idx="12">
                  <c:v>REPSOL DEL PERU </c:v>
                </c:pt>
              </c:strCache>
            </c:strRef>
          </c:cat>
          <c:val>
            <c:numRef>
              <c:f>aportantes!$F$2:$F$14</c:f>
              <c:numCache>
                <c:formatCode>"S/"\ #,##0.00</c:formatCode>
                <c:ptCount val="13"/>
                <c:pt idx="0">
                  <c:v>3571220.97</c:v>
                </c:pt>
                <c:pt idx="4">
                  <c:v>335760.88</c:v>
                </c:pt>
                <c:pt idx="5">
                  <c:v>58613.56</c:v>
                </c:pt>
                <c:pt idx="7">
                  <c:v>11069431.49</c:v>
                </c:pt>
                <c:pt idx="8">
                  <c:v>826225.29</c:v>
                </c:pt>
                <c:pt idx="9">
                  <c:v>1278463.72</c:v>
                </c:pt>
                <c:pt idx="10">
                  <c:v>9024244.4900000002</c:v>
                </c:pt>
                <c:pt idx="11">
                  <c:v>11540606.949999999</c:v>
                </c:pt>
                <c:pt idx="12">
                  <c:v>19356699.73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221-4939-A685-B7E1E15AF3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775566496"/>
        <c:axId val="77556937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3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PE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aportantes!$A$2:$A$14</c15:sqref>
                        </c15:formulaRef>
                      </c:ext>
                    </c:extLst>
                    <c:strCache>
                      <c:ptCount val="13"/>
                      <c:pt idx="0">
                        <c:v>KALLPA GENERACION S.A.</c:v>
                      </c:pt>
                      <c:pt idx="1">
                        <c:v>COIMOLACHE S.A.</c:v>
                      </c:pt>
                      <c:pt idx="2">
                        <c:v>MOLINOS Y CIA. S.A.</c:v>
                      </c:pt>
                      <c:pt idx="3">
                        <c:v>AMERICATEL PERÚ S.A.</c:v>
                      </c:pt>
                      <c:pt idx="4">
                        <c:v>MINERA MISKI MAYO S.R.L.</c:v>
                      </c:pt>
                      <c:pt idx="5">
                        <c:v>SOUTHERN PERU</c:v>
                      </c:pt>
                      <c:pt idx="6">
                        <c:v>SHOUGANG HIERRO PERU</c:v>
                      </c:pt>
                      <c:pt idx="7">
                        <c:v>TGP DEL PERU S.A.</c:v>
                      </c:pt>
                      <c:pt idx="8">
                        <c:v>CNPC PERU S.A.C.</c:v>
                      </c:pt>
                      <c:pt idx="9">
                        <c:v>ANTAMINA S.A.</c:v>
                      </c:pt>
                      <c:pt idx="10">
                        <c:v>ELECTROPERU S.A.</c:v>
                      </c:pt>
                      <c:pt idx="11">
                        <c:v>MINERA SHOUXIN</c:v>
                      </c:pt>
                      <c:pt idx="12">
                        <c:v>REPSOL DEL PERU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A221-4939-A685-B7E1E15AF395}"/>
                  </c:ext>
                </c:extLst>
              </c15:ser>
            </c15:filteredBarSeries>
          </c:ext>
        </c:extLst>
      </c:barChart>
      <c:catAx>
        <c:axId val="775566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75569376"/>
        <c:crosses val="autoZero"/>
        <c:auto val="1"/>
        <c:lblAlgn val="ctr"/>
        <c:lblOffset val="100"/>
        <c:noMultiLvlLbl val="0"/>
      </c:catAx>
      <c:valAx>
        <c:axId val="77556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75566496"/>
        <c:crosses val="autoZero"/>
        <c:crossBetween val="between"/>
        <c:dispUnits>
          <c:builtInUnit val="millions"/>
          <c:dispUnitsLbl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s-PE"/>
                    <a:t>Millones soles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790378038071899"/>
          <c:y val="0.95869430189634941"/>
          <c:w val="0.48741800680332453"/>
          <c:h val="3.4051052633061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76201</xdr:rowOff>
    </xdr:from>
    <xdr:to>
      <xdr:col>9</xdr:col>
      <xdr:colOff>724047</xdr:colOff>
      <xdr:row>31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F41A8D-65CA-4858-94E9-153216F89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28575</xdr:rowOff>
    </xdr:from>
    <xdr:to>
      <xdr:col>12</xdr:col>
      <xdr:colOff>506426</xdr:colOff>
      <xdr:row>57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B4F69A-ED82-4E1F-9CAF-076A61407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HO\Desktop\graficos\Analisis_aportes_empresas.xlsx" TargetMode="External"/><Relationship Id="rId1" Type="http://schemas.openxmlformats.org/officeDocument/2006/relationships/externalLinkPath" Target="Analisis_aportes_empresa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HO\Desktop\graficos\Elaboraci&#243;n%20de%20Indicadores%20DE%202017-2025%2030.01.2026.xlsx" TargetMode="External"/><Relationship Id="rId1" Type="http://schemas.openxmlformats.org/officeDocument/2006/relationships/externalLinkPath" Target="Elaboraci&#243;n%20de%20Indicadores%20DE%202017-2025%2030.01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 Sector"/>
      <sheetName val="detalle Sector"/>
      <sheetName val="x Empresa"/>
      <sheetName val="detalle Empresa"/>
      <sheetName val="Hoja1"/>
    </sheetNames>
    <sheetDataSet>
      <sheetData sheetId="0"/>
      <sheetData sheetId="1"/>
      <sheetData sheetId="2">
        <row r="105">
          <cell r="G105" t="str">
            <v>Total general</v>
          </cell>
        </row>
      </sheetData>
      <sheetData sheetId="3"/>
      <sheetData sheetId="4">
        <row r="1">
          <cell r="B1">
            <v>2021</v>
          </cell>
          <cell r="C1">
            <v>2022</v>
          </cell>
          <cell r="D1">
            <v>2023</v>
          </cell>
          <cell r="E1">
            <v>2024</v>
          </cell>
          <cell r="F1">
            <v>2025</v>
          </cell>
        </row>
        <row r="2">
          <cell r="A2" t="str">
            <v>KALLPA GENERACION S.A.</v>
          </cell>
          <cell r="E2">
            <v>1694006.51</v>
          </cell>
          <cell r="F2">
            <v>3571220.97</v>
          </cell>
        </row>
        <row r="3">
          <cell r="A3" t="str">
            <v>COIMOLACHE S.A.</v>
          </cell>
          <cell r="B3">
            <v>2945220.29</v>
          </cell>
          <cell r="C3">
            <v>5233598.66</v>
          </cell>
        </row>
        <row r="4">
          <cell r="A4" t="str">
            <v>MOLINOS Y CIA. S.A.</v>
          </cell>
          <cell r="B4">
            <v>5529.55</v>
          </cell>
          <cell r="C4">
            <v>4235113.0199999996</v>
          </cell>
          <cell r="D4">
            <v>5406332.6699999999</v>
          </cell>
        </row>
        <row r="5">
          <cell r="A5" t="str">
            <v>AMERICATEL PERÚ S.A.</v>
          </cell>
          <cell r="D5">
            <v>10120000</v>
          </cell>
        </row>
        <row r="6">
          <cell r="A6" t="str">
            <v>MINERA MISKI MAYO S.R.L.</v>
          </cell>
          <cell r="D6">
            <v>7763489</v>
          </cell>
          <cell r="E6">
            <v>2777963.68</v>
          </cell>
          <cell r="F6">
            <v>335760.88</v>
          </cell>
        </row>
        <row r="7">
          <cell r="A7" t="str">
            <v>SOUTHERN PERU</v>
          </cell>
          <cell r="C7">
            <v>11460693.01</v>
          </cell>
          <cell r="F7">
            <v>58613.56</v>
          </cell>
        </row>
        <row r="8">
          <cell r="A8" t="str">
            <v>SHOUGANG HIERRO PERU</v>
          </cell>
          <cell r="B8">
            <v>112757.75999999999</v>
          </cell>
          <cell r="C8">
            <v>18828110.579999998</v>
          </cell>
          <cell r="D8">
            <v>1081410.57</v>
          </cell>
        </row>
        <row r="9">
          <cell r="A9" t="str">
            <v>TGP DEL PERU S.A.</v>
          </cell>
          <cell r="E9">
            <v>9937528.4900000002</v>
          </cell>
          <cell r="F9">
            <v>11069431.49</v>
          </cell>
        </row>
        <row r="10">
          <cell r="A10" t="str">
            <v>CNPC PERU S.A.C.</v>
          </cell>
          <cell r="C10">
            <v>1374281.08</v>
          </cell>
          <cell r="D10">
            <v>18695227.609999999</v>
          </cell>
          <cell r="E10">
            <v>1597905.72</v>
          </cell>
          <cell r="F10">
            <v>826225.29</v>
          </cell>
        </row>
        <row r="11">
          <cell r="A11" t="str">
            <v>ANTAMINA S.A.</v>
          </cell>
          <cell r="B11">
            <v>944276.61</v>
          </cell>
          <cell r="C11">
            <v>11883557.5</v>
          </cell>
          <cell r="D11">
            <v>11466527.939999999</v>
          </cell>
          <cell r="E11">
            <v>1525902.8</v>
          </cell>
          <cell r="F11">
            <v>1278463.72</v>
          </cell>
        </row>
        <row r="12">
          <cell r="A12" t="str">
            <v>ELECTROPERU S.A.</v>
          </cell>
          <cell r="B12">
            <v>1498767.05</v>
          </cell>
          <cell r="C12">
            <v>17473112.780000001</v>
          </cell>
          <cell r="D12">
            <v>5188353.3900000006</v>
          </cell>
          <cell r="E12">
            <v>58116.9</v>
          </cell>
          <cell r="F12">
            <v>9024244.4900000002</v>
          </cell>
        </row>
        <row r="13">
          <cell r="A13" t="str">
            <v>MINERA SHOUXIN</v>
          </cell>
          <cell r="B13">
            <v>19273.5</v>
          </cell>
          <cell r="C13">
            <v>10259395.619999999</v>
          </cell>
          <cell r="D13">
            <v>10353975.17</v>
          </cell>
          <cell r="E13">
            <v>11056451.289999999</v>
          </cell>
          <cell r="F13">
            <v>11540606.949999999</v>
          </cell>
        </row>
        <row r="14">
          <cell r="A14" t="str">
            <v xml:space="preserve">REPSOL DEL PERU </v>
          </cell>
          <cell r="C14">
            <v>19360000</v>
          </cell>
          <cell r="D14">
            <v>20240000</v>
          </cell>
          <cell r="E14">
            <v>13661234.83</v>
          </cell>
          <cell r="F14">
            <v>19356699.73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cursos"/>
      <sheetName val="Proyectos"/>
      <sheetName val="Servicios"/>
      <sheetName val="Otros"/>
      <sheetName val="Hoja2"/>
      <sheetName val="1. Gastos Adm"/>
      <sheetName val="Hoja1 (2)"/>
      <sheetName val="Hoja1"/>
      <sheetName val="2021-2025"/>
      <sheetName val="2. Gastos Proyectos"/>
      <sheetName val="3. Gastos Servicios"/>
      <sheetName val="4. Proyectos y Servicios"/>
      <sheetName val="4. Proyectos y Servicios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 xml:space="preserve">Aportes  </v>
          </cell>
          <cell r="D3" t="str">
            <v>Intereses</v>
          </cell>
          <cell r="E3" t="str">
            <v>Administrativos</v>
          </cell>
          <cell r="F3" t="str">
            <v>Proyectos</v>
          </cell>
          <cell r="G3" t="str">
            <v>Becas</v>
          </cell>
        </row>
        <row r="4">
          <cell r="B4">
            <v>2021</v>
          </cell>
          <cell r="C4">
            <v>13804509</v>
          </cell>
          <cell r="D4">
            <v>1597409</v>
          </cell>
          <cell r="E4">
            <v>5623485</v>
          </cell>
          <cell r="F4">
            <v>12058986</v>
          </cell>
          <cell r="G4">
            <v>9777</v>
          </cell>
        </row>
        <row r="5">
          <cell r="B5">
            <v>2022</v>
          </cell>
          <cell r="C5">
            <v>127931557</v>
          </cell>
          <cell r="D5">
            <v>13548953</v>
          </cell>
          <cell r="E5">
            <v>7962565</v>
          </cell>
          <cell r="F5">
            <v>1715255.8800000004</v>
          </cell>
          <cell r="G5">
            <v>1877586.1199999996</v>
          </cell>
        </row>
        <row r="6">
          <cell r="B6">
            <v>2023</v>
          </cell>
          <cell r="C6">
            <v>103249716</v>
          </cell>
          <cell r="D6">
            <v>28711119</v>
          </cell>
          <cell r="E6">
            <v>5928766</v>
          </cell>
          <cell r="F6">
            <v>3948624.7700000009</v>
          </cell>
          <cell r="G6">
            <v>4022535.2299999991</v>
          </cell>
        </row>
        <row r="7">
          <cell r="B7">
            <v>2024</v>
          </cell>
          <cell r="C7">
            <v>54552564</v>
          </cell>
          <cell r="D7">
            <v>18062981</v>
          </cell>
          <cell r="E7">
            <v>6671455</v>
          </cell>
          <cell r="F7">
            <v>3994583.31</v>
          </cell>
          <cell r="G7">
            <v>2540187.69</v>
          </cell>
        </row>
        <row r="8">
          <cell r="B8">
            <v>2025</v>
          </cell>
          <cell r="C8">
            <v>66450021</v>
          </cell>
          <cell r="D8">
            <v>12483698</v>
          </cell>
          <cell r="E8">
            <v>8694026</v>
          </cell>
          <cell r="F8">
            <v>3850033.3329999996</v>
          </cell>
          <cell r="G8">
            <v>2952110.6670000004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7C9AF-45AB-470D-AEB8-660556651BEF}">
  <dimension ref="A1:H34"/>
  <sheetViews>
    <sheetView topLeftCell="A16" workbookViewId="0">
      <selection activeCell="C11" sqref="C11"/>
    </sheetView>
  </sheetViews>
  <sheetFormatPr baseColWidth="10" defaultRowHeight="15" x14ac:dyDescent="0.25"/>
  <cols>
    <col min="1" max="1" width="17.5703125" customWidth="1"/>
    <col min="2" max="5" width="16.5703125" customWidth="1"/>
    <col min="6" max="6" width="13.5703125" customWidth="1"/>
    <col min="7" max="7" width="16.5703125" customWidth="1"/>
    <col min="11" max="11" width="12.5703125" bestFit="1" customWidth="1"/>
  </cols>
  <sheetData>
    <row r="1" spans="1:7" x14ac:dyDescent="0.25">
      <c r="A1" s="4" t="s">
        <v>14</v>
      </c>
      <c r="B1" s="4" t="s">
        <v>15</v>
      </c>
      <c r="C1" s="4" t="s">
        <v>16</v>
      </c>
      <c r="D1" s="4" t="s">
        <v>19</v>
      </c>
      <c r="E1" s="4" t="s">
        <v>17</v>
      </c>
      <c r="F1" s="4" t="s">
        <v>18</v>
      </c>
      <c r="G1" s="4" t="s">
        <v>23</v>
      </c>
    </row>
    <row r="2" spans="1:7" x14ac:dyDescent="0.25">
      <c r="A2" s="5">
        <v>2021</v>
      </c>
      <c r="B2" s="6">
        <v>13804509</v>
      </c>
      <c r="C2" s="7">
        <v>1597409</v>
      </c>
      <c r="D2" s="6">
        <f>3260082+2362815+588</f>
        <v>5623485</v>
      </c>
      <c r="E2" s="8">
        <v>12058986</v>
      </c>
      <c r="F2" s="7">
        <v>9777</v>
      </c>
      <c r="G2" s="6">
        <v>163208492</v>
      </c>
    </row>
    <row r="3" spans="1:7" x14ac:dyDescent="0.25">
      <c r="A3" s="5">
        <v>2022</v>
      </c>
      <c r="B3" s="6">
        <v>127931557</v>
      </c>
      <c r="C3" s="9">
        <v>13548953</v>
      </c>
      <c r="D3" s="6">
        <f>3158136+4804429</f>
        <v>7962565</v>
      </c>
      <c r="E3" s="8">
        <v>1715255.8800000004</v>
      </c>
      <c r="F3" s="9">
        <v>1877586.1199999996</v>
      </c>
      <c r="G3" s="6">
        <v>294796326</v>
      </c>
    </row>
    <row r="4" spans="1:7" x14ac:dyDescent="0.25">
      <c r="A4" s="5">
        <v>2023</v>
      </c>
      <c r="B4" s="6">
        <v>103249716</v>
      </c>
      <c r="C4" s="9">
        <v>28711119</v>
      </c>
      <c r="D4" s="6">
        <f>3211207+2717559</f>
        <v>5928766</v>
      </c>
      <c r="E4" s="8">
        <v>3948624.7700000009</v>
      </c>
      <c r="F4" s="9">
        <v>4022535.2299999991</v>
      </c>
      <c r="G4" s="6">
        <v>412194125</v>
      </c>
    </row>
    <row r="5" spans="1:7" x14ac:dyDescent="0.25">
      <c r="A5" s="5">
        <v>2024</v>
      </c>
      <c r="B5" s="6">
        <v>54552564</v>
      </c>
      <c r="C5" s="9">
        <v>18062981</v>
      </c>
      <c r="D5" s="6">
        <f>4558547+2112908</f>
        <v>6671455</v>
      </c>
      <c r="E5" s="8">
        <v>3994583.31</v>
      </c>
      <c r="F5" s="9">
        <v>2540187.69</v>
      </c>
      <c r="G5" s="6">
        <v>479389851</v>
      </c>
    </row>
    <row r="6" spans="1:7" x14ac:dyDescent="0.25">
      <c r="A6" s="5" t="s">
        <v>20</v>
      </c>
      <c r="B6" s="6">
        <v>66450021</v>
      </c>
      <c r="C6" s="9">
        <v>12483698</v>
      </c>
      <c r="D6" s="6">
        <f>5440240+3253786</f>
        <v>8694026</v>
      </c>
      <c r="E6" s="8">
        <v>3850033.3329999996</v>
      </c>
      <c r="F6" s="9">
        <v>2952110.6670000004</v>
      </c>
      <c r="G6" s="6">
        <v>540734277</v>
      </c>
    </row>
    <row r="7" spans="1:7" x14ac:dyDescent="0.25">
      <c r="A7" s="5" t="s">
        <v>21</v>
      </c>
      <c r="B7" s="6">
        <v>100000000</v>
      </c>
      <c r="C7" s="9">
        <v>20000000</v>
      </c>
      <c r="D7" s="6">
        <v>10000000</v>
      </c>
      <c r="E7" s="8">
        <v>20000000</v>
      </c>
      <c r="F7" s="9">
        <v>12000000</v>
      </c>
      <c r="G7" s="6">
        <v>600000000</v>
      </c>
    </row>
    <row r="33" spans="2:8" x14ac:dyDescent="0.25">
      <c r="B33" s="10" t="s">
        <v>22</v>
      </c>
      <c r="C33" s="11">
        <v>2021</v>
      </c>
      <c r="D33" s="11">
        <v>2022</v>
      </c>
      <c r="E33" s="11">
        <v>2023</v>
      </c>
      <c r="F33" s="11">
        <v>2024</v>
      </c>
      <c r="G33" s="11" t="s">
        <v>20</v>
      </c>
      <c r="H33" s="11" t="s">
        <v>21</v>
      </c>
    </row>
    <row r="34" spans="2:8" x14ac:dyDescent="0.25">
      <c r="B34" s="4" t="s">
        <v>23</v>
      </c>
      <c r="C34" s="6">
        <v>163208492</v>
      </c>
      <c r="D34" s="6">
        <v>294796326</v>
      </c>
      <c r="E34" s="6">
        <v>412194125</v>
      </c>
      <c r="F34" s="6">
        <v>479389851</v>
      </c>
      <c r="G34" s="6">
        <v>540734277</v>
      </c>
      <c r="H34" s="6">
        <v>600000000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D166-992B-483C-956F-B2CBFCD9B2B6}">
  <dimension ref="A1:F14"/>
  <sheetViews>
    <sheetView tabSelected="1" workbookViewId="0">
      <selection activeCell="I8" sqref="I8"/>
    </sheetView>
  </sheetViews>
  <sheetFormatPr baseColWidth="10" defaultRowHeight="15" x14ac:dyDescent="0.25"/>
  <cols>
    <col min="1" max="1" width="27.28515625" customWidth="1"/>
    <col min="2" max="2" width="14" bestFit="1" customWidth="1"/>
    <col min="3" max="6" width="15" bestFit="1" customWidth="1"/>
  </cols>
  <sheetData>
    <row r="1" spans="1:6" x14ac:dyDescent="0.25">
      <c r="A1" s="1" t="s">
        <v>0</v>
      </c>
      <c r="B1" s="12">
        <v>2021</v>
      </c>
      <c r="C1" s="12">
        <v>2022</v>
      </c>
      <c r="D1" s="12">
        <v>2023</v>
      </c>
      <c r="E1" s="12">
        <v>2024</v>
      </c>
      <c r="F1" s="12">
        <v>2025</v>
      </c>
    </row>
    <row r="2" spans="1:6" x14ac:dyDescent="0.25">
      <c r="A2" s="2" t="s">
        <v>1</v>
      </c>
      <c r="B2" s="3"/>
      <c r="C2" s="3"/>
      <c r="D2" s="3"/>
      <c r="E2" s="3">
        <v>1694006.51</v>
      </c>
      <c r="F2" s="3">
        <v>3571220.97</v>
      </c>
    </row>
    <row r="3" spans="1:6" x14ac:dyDescent="0.25">
      <c r="A3" s="2" t="s">
        <v>2</v>
      </c>
      <c r="B3" s="3">
        <v>2945220.29</v>
      </c>
      <c r="C3" s="3">
        <v>5233598.66</v>
      </c>
      <c r="D3" s="3"/>
      <c r="E3" s="3"/>
      <c r="F3" s="3"/>
    </row>
    <row r="4" spans="1:6" x14ac:dyDescent="0.25">
      <c r="A4" s="2" t="s">
        <v>3</v>
      </c>
      <c r="B4" s="3">
        <v>5529.55</v>
      </c>
      <c r="C4" s="3">
        <v>4235113.0199999996</v>
      </c>
      <c r="D4" s="3">
        <v>5406332.6699999999</v>
      </c>
      <c r="E4" s="3"/>
      <c r="F4" s="3"/>
    </row>
    <row r="5" spans="1:6" x14ac:dyDescent="0.25">
      <c r="A5" s="2" t="s">
        <v>4</v>
      </c>
      <c r="B5" s="3"/>
      <c r="C5" s="3"/>
      <c r="D5" s="3">
        <v>10120000</v>
      </c>
      <c r="E5" s="3"/>
      <c r="F5" s="3"/>
    </row>
    <row r="6" spans="1:6" x14ac:dyDescent="0.25">
      <c r="A6" s="2" t="s">
        <v>5</v>
      </c>
      <c r="B6" s="3"/>
      <c r="C6" s="3"/>
      <c r="D6" s="3">
        <v>7763489</v>
      </c>
      <c r="E6" s="3">
        <v>2777963.68</v>
      </c>
      <c r="F6" s="3">
        <v>335760.88</v>
      </c>
    </row>
    <row r="7" spans="1:6" x14ac:dyDescent="0.25">
      <c r="A7" s="2" t="s">
        <v>6</v>
      </c>
      <c r="B7" s="3"/>
      <c r="C7" s="3">
        <v>11460693.01</v>
      </c>
      <c r="D7" s="3"/>
      <c r="E7" s="3"/>
      <c r="F7" s="3">
        <v>58613.56</v>
      </c>
    </row>
    <row r="8" spans="1:6" x14ac:dyDescent="0.25">
      <c r="A8" s="2" t="s">
        <v>7</v>
      </c>
      <c r="B8" s="3">
        <v>112757.75999999999</v>
      </c>
      <c r="C8" s="3">
        <v>18828110.579999998</v>
      </c>
      <c r="D8" s="3">
        <v>1081410.57</v>
      </c>
      <c r="E8" s="3"/>
      <c r="F8" s="3"/>
    </row>
    <row r="9" spans="1:6" x14ac:dyDescent="0.25">
      <c r="A9" s="2" t="s">
        <v>8</v>
      </c>
      <c r="B9" s="3"/>
      <c r="C9" s="3"/>
      <c r="D9" s="3"/>
      <c r="E9" s="3">
        <v>9937528.4900000002</v>
      </c>
      <c r="F9" s="3">
        <v>11069431.49</v>
      </c>
    </row>
    <row r="10" spans="1:6" x14ac:dyDescent="0.25">
      <c r="A10" s="2" t="s">
        <v>9</v>
      </c>
      <c r="B10" s="3"/>
      <c r="C10" s="3">
        <v>1374281.08</v>
      </c>
      <c r="D10" s="3">
        <v>18695227.609999999</v>
      </c>
      <c r="E10" s="3">
        <v>1597905.72</v>
      </c>
      <c r="F10" s="3">
        <v>826225.29</v>
      </c>
    </row>
    <row r="11" spans="1:6" x14ac:dyDescent="0.25">
      <c r="A11" s="2" t="s">
        <v>10</v>
      </c>
      <c r="B11" s="3">
        <v>944276.61</v>
      </c>
      <c r="C11" s="3">
        <v>11883557.5</v>
      </c>
      <c r="D11" s="3">
        <v>11466527.939999999</v>
      </c>
      <c r="E11" s="3">
        <v>1525902.8</v>
      </c>
      <c r="F11" s="3">
        <v>1278463.72</v>
      </c>
    </row>
    <row r="12" spans="1:6" x14ac:dyDescent="0.25">
      <c r="A12" s="2" t="s">
        <v>11</v>
      </c>
      <c r="B12" s="3">
        <v>1498767.05</v>
      </c>
      <c r="C12" s="3">
        <v>17473112.780000001</v>
      </c>
      <c r="D12" s="3">
        <v>5188353.3900000006</v>
      </c>
      <c r="E12" s="3">
        <v>58116.9</v>
      </c>
      <c r="F12" s="3">
        <v>9024244.4900000002</v>
      </c>
    </row>
    <row r="13" spans="1:6" x14ac:dyDescent="0.25">
      <c r="A13" s="2" t="s">
        <v>12</v>
      </c>
      <c r="B13" s="3">
        <v>19273.5</v>
      </c>
      <c r="C13" s="3">
        <v>10259395.619999999</v>
      </c>
      <c r="D13" s="3">
        <v>10353975.17</v>
      </c>
      <c r="E13" s="3">
        <v>11056451.289999999</v>
      </c>
      <c r="F13" s="3">
        <v>11540606.949999999</v>
      </c>
    </row>
    <row r="14" spans="1:6" x14ac:dyDescent="0.25">
      <c r="A14" s="2" t="s">
        <v>13</v>
      </c>
      <c r="B14" s="3"/>
      <c r="C14" s="3">
        <v>19360000</v>
      </c>
      <c r="D14" s="3">
        <v>20240000</v>
      </c>
      <c r="E14" s="3">
        <v>13661234.83</v>
      </c>
      <c r="F14" s="3">
        <v>19356699.73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finanzas</vt:lpstr>
      <vt:lpstr>aportantes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REUNION 2</dc:creator>
  <cp:lastModifiedBy>REUNION 2</cp:lastModifiedBy>
  <dcterms:created xsi:type="dcterms:W3CDTF">2026-03-08T17:22:02Z</dcterms:created>
  <dcterms:modified xsi:type="dcterms:W3CDTF">2026-03-08T17:39:25Z</dcterms:modified>
</cp:coreProperties>
</file>